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ircc\web-health-dashboard\csv\"/>
    </mc:Choice>
  </mc:AlternateContent>
  <xr:revisionPtr revIDLastSave="0" documentId="13_ncr:1_{1E5344F6-151D-48EF-941D-399DF6D943EA}" xr6:coauthVersionLast="47" xr6:coauthVersionMax="47" xr10:uidLastSave="{00000000-0000-0000-0000-000000000000}"/>
  <bookViews>
    <workbookView xWindow="-120" yWindow="-120" windowWidth="29040" windowHeight="15990" xr2:uid="{04C046E8-C42A-4F71-9406-C25009EDA831}"/>
  </bookViews>
  <sheets>
    <sheet name="Data" sheetId="1" r:id="rId1"/>
    <sheet name="MonthCalc" sheetId="2" r:id="rId2"/>
    <sheet name="URLs" sheetId="3" r:id="rId3"/>
  </sheets>
  <functionGroups builtInGroupCount="19"/>
  <externalReferences>
    <externalReference r:id="rId4"/>
  </externalReferences>
  <definedNames>
    <definedName name="ExternalData_1" localSheetId="0">Data!#REF!</definedName>
    <definedName name="ExternalData_10" localSheetId="0">Data!$A$1:$E$1304</definedName>
    <definedName name="ExternalData_11" localSheetId="0">Data!$A$1:$E$1304</definedName>
    <definedName name="ExternalData_12" localSheetId="0">Data!$A$1:$E$1304</definedName>
    <definedName name="ExternalData_13" localSheetId="0">Data!$A$1:$E$1318</definedName>
    <definedName name="ExternalData_14" localSheetId="0">Data!$A$1:$E$1381</definedName>
    <definedName name="ExternalData_15" localSheetId="0">Data!$A$1:$E$1381</definedName>
    <definedName name="ExternalData_16" localSheetId="0">Data!$A$1:$E$1038</definedName>
    <definedName name="ExternalData_17" localSheetId="0">Data!$A$1:$E$1038</definedName>
    <definedName name="ExternalData_18" localSheetId="0">Data!$A$1:$E$998</definedName>
    <definedName name="ExternalData_19" localSheetId="0">Data!$A$1:$E$987</definedName>
    <definedName name="ExternalData_2" localSheetId="0">Data!#REF!</definedName>
    <definedName name="ExternalData_20" localSheetId="0">Data!$A$1:$E$864</definedName>
    <definedName name="ExternalData_21" localSheetId="0">Data!$A$1:$E$852</definedName>
    <definedName name="ExternalData_22" localSheetId="0">Data!$A$1:$E$844</definedName>
    <definedName name="ExternalData_23" localSheetId="0">Data!$A$1:$E$846</definedName>
    <definedName name="ExternalData_24" localSheetId="0">Data!$A$1:$K$547</definedName>
    <definedName name="ExternalData_25" localSheetId="0">Data!$A$1:$K$547</definedName>
    <definedName name="ExternalData_3" localSheetId="0">Data!#REF!</definedName>
    <definedName name="ExternalData_4" localSheetId="0">Data!$A$1:$E$349</definedName>
    <definedName name="ExternalData_5" localSheetId="0">Data!$A$1:$E$423</definedName>
    <definedName name="ExternalData_6" localSheetId="0">Data!$A$1:$E$423</definedName>
    <definedName name="ExternalData_7" localSheetId="0">Data!$A$1:$E$423</definedName>
    <definedName name="ExternalData_8" localSheetId="0">Data!$A$1:$E$1304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/>
  <c r="C2" i="2"/>
  <c r="B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7FE97C-D5AE-4242-9C4F-6E82A056B9BA}" keepAlive="1" name="Connection" type="5" refreshedVersion="0" background="1">
    <dbPr connection="Provider=Microsoft.Mashup.OleDb.1;Data Source=$Workbook$;Location=dashboard;Extended Properties=&quot;&quot;" commandType="0"/>
  </connection>
  <connection id="2" xr16:uid="{AC374A06-2950-4DBA-90BE-C934A3C192FD}" keepAlive="1" name="Connection1" type="5" refreshedVersion="0" background="1">
    <dbPr connection="Provider=Microsoft.Mashup.OleDb.1;Data Source=$Workbook$;Location=dashboard;Extended Properties=&quot;&quot;" commandType="0"/>
  </connection>
  <connection id="3" xr16:uid="{78D690D8-A81D-4FD9-A1C2-D56A8000DEA4}" keepAlive="1" name="Connection10" type="5" refreshedVersion="0" background="1">
    <dbPr connection="Provider=Microsoft.Mashup.OleDb.1;Data Source=$Workbook$;Location=dashboard;Extended Properties=&quot;&quot;" commandType="0"/>
  </connection>
  <connection id="4" xr16:uid="{57CB6E10-59F0-4AC6-B0AF-77BD4F8DAC82}" keepAlive="1" name="Connection11" type="5" refreshedVersion="0" background="1">
    <dbPr connection="Provider=Microsoft.Mashup.OleDb.1;Data Source=$Workbook$;Location=dashboard;Extended Properties=&quot;&quot;" commandType="0"/>
  </connection>
  <connection id="5" xr16:uid="{1351E74A-D47D-4040-929E-0C7B7B5DAB37}" keepAlive="1" name="Connection2" type="5" refreshedVersion="0" background="1">
    <dbPr connection="Provider=Microsoft.Mashup.OleDb.1;Data Source=$Workbook$;Location=dashboard;Extended Properties=&quot;&quot;" commandType="0"/>
  </connection>
  <connection id="6" xr16:uid="{EA4D9209-E93E-4C2A-9440-2779A1395027}" keepAlive="1" name="Connection3" type="5" refreshedVersion="0" background="1">
    <dbPr connection="Provider=Microsoft.Mashup.OleDb.1;Data Source=$Workbook$;Location=dashboard;Extended Properties=&quot;&quot;" commandType="0"/>
  </connection>
  <connection id="7" xr16:uid="{F3187D2F-0B71-4050-AA86-3D5B7736F3D3}" keepAlive="1" name="Connection4" type="5" refreshedVersion="0" background="1">
    <dbPr connection="Provider=Microsoft.Mashup.OleDb.1;Data Source=$Workbook$;Location=dashboard;Extended Properties=&quot;&quot;" commandType="0"/>
  </connection>
  <connection id="8" xr16:uid="{4F9D9BB8-D523-455F-82B4-78B7E38DA860}" keepAlive="1" name="Connection5" type="5" refreshedVersion="0" background="1">
    <dbPr connection="Provider=Microsoft.Mashup.OleDb.1;Data Source=$Workbook$;Location=dashboard;Extended Properties=&quot;&quot;" commandType="0"/>
  </connection>
  <connection id="9" xr16:uid="{A1D6AFD2-497C-4F56-A7DA-BF21CDFD8E9A}" keepAlive="1" name="Connection6" type="5" refreshedVersion="0" background="1">
    <dbPr connection="Provider=Microsoft.Mashup.OleDb.1;Data Source=$Workbook$;Location=dashboard;Extended Properties=&quot;&quot;" commandType="0"/>
  </connection>
  <connection id="10" xr16:uid="{8E73B956-966D-484A-B07A-5F4AC0BE11DC}" keepAlive="1" name="Connection7" type="5" refreshedVersion="0" background="1">
    <dbPr connection="Provider=Microsoft.Mashup.OleDb.1;Data Source=$Workbook$;Location=dashboard;Extended Properties=&quot;&quot;" commandType="0"/>
  </connection>
  <connection id="11" xr16:uid="{B7C0C3D9-3C55-4EBC-9FBA-3AF4C9132D22}" keepAlive="1" name="Connection8" type="5" refreshedVersion="0" background="1">
    <dbPr connection="Provider=Microsoft.Mashup.OleDb.1;Data Source=$Workbook$;Location=dashboard;Extended Properties=&quot;&quot;" commandType="0"/>
  </connection>
  <connection id="12" xr16:uid="{C82BA70C-44FB-4431-8812-C1B91313A852}" keepAlive="1" name="Connection9" type="5" refreshedVersion="0" background="1">
    <dbPr connection="Provider=Microsoft.Mashup.OleDb.1;Data Source=$Workbook$;Location=dashboard;Extended Properties=&quot;&quot;" commandType="0"/>
  </connection>
  <connection id="13" xr16:uid="{1BCD863D-9574-418E-87A4-708F0F0127D5}" name="dashboard" type="6" refreshedVersion="8" background="1" saveData="1">
    <textPr prompt="0" sourceFile="Z:\test\karine\wurd\web-health-dashboard\csv\dashboard.csv" comma="1">
      <textFields>
        <textField/>
      </textFields>
    </textPr>
  </connection>
  <connection id="14" xr16:uid="{24ED76CB-59DF-4F43-B545-4E26F7A8F48A}" name="dashboard1" type="6" refreshedVersion="8" background="1" saveData="1">
    <textPr prompt="0" sourceFile="Z:\test\karine\wurd\web-health-dashboard\csv\dashboard.csv" comma="1">
      <textFields>
        <textField/>
      </textFields>
    </textPr>
  </connection>
  <connection id="15" xr16:uid="{EAE6A5FE-81AB-4A12-912F-E67028ACFB44}" name="dashboard10" type="6" refreshedVersion="8" background="1" saveData="1">
    <textPr prompt="0" sourceFile="Z:\test\karine\wurd\web-health-dashboard\csv\dashboard.csv" comma="1">
      <textFields>
        <textField/>
      </textFields>
    </textPr>
  </connection>
  <connection id="16" xr16:uid="{9BD0A67B-EAB9-4511-9E4B-DB3A47D16D02}" name="dashboard11" type="6" refreshedVersion="8" background="1" saveData="1">
    <textPr prompt="0" sourceFile="Z:\test\karine\wurd\web-health-dashboard\csv\dashboard.csv" comma="1">
      <textFields>
        <textField/>
      </textFields>
    </textPr>
  </connection>
  <connection id="17" xr16:uid="{12137250-D8EE-44B1-B31F-7DE40D80444C}" name="dashboard12" type="6" refreshedVersion="8" background="1" saveData="1">
    <textPr prompt="0" sourceFile="Z:\test\karine\wurd\web-health-dashboard\csv\dashboard.csv" comma="1">
      <textFields>
        <textField/>
      </textFields>
    </textPr>
  </connection>
  <connection id="18" xr16:uid="{83C424F7-4553-45DF-AB77-8FFCA76C3354}" name="dashboard13" type="6" refreshedVersion="8" background="1" saveData="1">
    <textPr prompt="0" sourceFile="Z:\test\karine\wurd\web-health-dashboard\csv\dashboard.csv" comma="1">
      <textFields>
        <textField/>
      </textFields>
    </textPr>
  </connection>
  <connection id="19" xr16:uid="{291F84DE-37D4-43FB-ACB2-740320CFBFDF}" name="dashboard14" type="6" refreshedVersion="8" background="1" saveData="1">
    <textPr prompt="0" sourceFile="Z:\test\karine\wurd\web-health-dashboard\csv\dashboard.csv" comma="1">
      <textFields>
        <textField/>
      </textFields>
    </textPr>
  </connection>
  <connection id="20" xr16:uid="{605CB90E-94C8-47E4-A33E-656B030A59D0}" name="dashboard15" type="6" refreshedVersion="8" background="1" saveData="1">
    <textPr prompt="0" sourceFile="Z:\test\karine\wurd\web-health-dashboard\csv\dashboard.csv" comma="1">
      <textFields>
        <textField/>
      </textFields>
    </textPr>
  </connection>
  <connection id="21" xr16:uid="{78AC7A2A-D2FE-4535-B54E-6A758F1450B7}" name="dashboard16" type="6" refreshedVersion="8" background="1" saveData="1">
    <textPr prompt="0" sourceFile="Z:\test\karine\wurd\web-health-dashboard\csv\dashboard.csv" comma="1">
      <textFields>
        <textField/>
      </textFields>
    </textPr>
  </connection>
  <connection id="22" xr16:uid="{F3421FA7-E171-4754-8906-03FA56C45640}" name="dashboard17" type="6" refreshedVersion="8" background="1" saveData="1">
    <textPr prompt="0" sourceFile="C:\github\ircc\web-health-dashboard\csv\dashboard.csv" comma="1">
      <textFields>
        <textField/>
      </textFields>
    </textPr>
  </connection>
  <connection id="23" xr16:uid="{44D67E12-A5CD-4E82-80B2-3565D927EC2A}" name="dashboard18" type="6" refreshedVersion="8" background="1" saveData="1">
    <textPr prompt="0" sourceFile="Z:\test\karine\wurd\web-health-dashboard\csv\dashboard.csv" comma="1">
      <textFields>
        <textField/>
      </textFields>
    </textPr>
  </connection>
  <connection id="24" xr16:uid="{1F54917C-048B-4C13-A2BD-6BFC91C40605}" name="dashboard19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5" xr16:uid="{14C1AD37-4282-4977-BCB1-91A5F8C666A2}" name="dashboard2" type="6" refreshedVersion="8" background="1" saveData="1">
    <textPr prompt="0" sourceFile="Z:\test\karine\wurd\web-health-dashboard\csv\dashboard.csv" comma="1">
      <textFields>
        <textField/>
      </textFields>
    </textPr>
  </connection>
  <connection id="26" xr16:uid="{3FCC6A4C-ECB0-4A30-8B61-F9FD9438381C}" name="dashboard20" type="6" refreshedVersion="8" background="1" saveData="1">
    <textPr prompt="0" sourceFile="C:\Users\Karine.Bedard\Desktop\bring to main\keep\dashboard.csv" comma="1">
      <textFields>
        <textField/>
      </textFields>
    </textPr>
  </connection>
  <connection id="27" xr16:uid="{BC23B426-ACA0-4A55-B32E-2DF03AD00F1B}" name="dashboard3" type="6" refreshedVersion="8" background="1" saveData="1">
    <textPr prompt="0" sourceFile="Z:\test\karine\wurd\web-health-dashboard\csv\dashboard.csv" comma="1">
      <textFields>
        <textField/>
      </textFields>
    </textPr>
  </connection>
  <connection id="28" xr16:uid="{ECA26C58-7805-47A7-8ED7-EE186A63280F}" name="dashboard4" type="6" refreshedVersion="8" background="1" saveData="1">
    <textPr prompt="0" sourceFile="Z:\test\karine\wurd\web-health-dashboard\csv\dashboard.csv" comma="1">
      <textFields>
        <textField/>
      </textFields>
    </textPr>
  </connection>
  <connection id="29" xr16:uid="{636CF9F3-532D-4B4E-B5A5-031E2ADB8516}" name="dashboard5" type="6" refreshedVersion="8" background="1" saveData="1">
    <textPr prompt="0" sourceFile="C:\github\ircc\web-health-dashboard\csv\dashboard.csv" comma="1">
      <textFields>
        <textField/>
      </textFields>
    </textPr>
  </connection>
  <connection id="30" xr16:uid="{8A2E8AA8-FAED-4E30-BA69-5AD6C61CC259}" name="dashboard6" type="6" refreshedVersion="8" background="1" saveData="1">
    <textPr prompt="0" sourceFile="Z:\test\karine\wurd\web-health-dashboard\csv\dashboard.csv" comma="1">
      <textFields>
        <textField/>
      </textFields>
    </textPr>
  </connection>
  <connection id="31" xr16:uid="{7CD7A9AB-EED8-4707-912C-D79F3717C007}" name="dashboard7" type="6" refreshedVersion="8" background="1" saveData="1">
    <textPr prompt="0" sourceFile="Z:\test\karine\wurd\web-health-dashboard\csv\dashboard.csv" comma="1">
      <textFields>
        <textField/>
      </textFields>
    </textPr>
  </connection>
  <connection id="32" xr16:uid="{2F2D783B-0234-44D8-8B01-FDD0A7A873F8}" name="dashboard8" type="6" refreshedVersion="8" background="1" saveData="1">
    <textPr prompt="0" sourceFile="Z:\test\karine\wurd\web-health-dashboard\csv\dashboard.csv" comma="1">
      <textFields>
        <textField/>
      </textFields>
    </textPr>
  </connection>
  <connection id="33" xr16:uid="{F67BA335-CAF9-459A-804E-35AFA09B1F1D}" name="dashboard9" type="6" refreshedVersion="8" background="1" saveData="1">
    <textPr prompt="0" sourceFile="Z:\test\karine\wurd\web-health-dashboard\csv\dashboard.csv" comma="1">
      <textFields>
        <textField/>
      </textFields>
    </textPr>
  </connection>
  <connection id="34" xr16:uid="{51B34C5C-8A8D-4C63-8677-5ECA847691D5}" keepAlive="1" name="Query - dashboard" description="Connection to the 'dashboard' query in the workbook." type="5" refreshedVersion="8" background="1">
    <dbPr connection="Provider=Microsoft.Mashup.OleDb.1;Data Source=$Workbook$;Location=dashboard;Extended Properties=&quot;&quot;" command="SELECT * FROM [dashboard]"/>
  </connection>
  <connection id="35" xr16:uid="{16993290-C55F-4313-9032-4698C41222A7}" keepAlive="1" name="Query - dashboard (2)" description="Connection to the 'dashboard (2)' query in the workbook." type="5" refreshedVersion="0" background="1">
    <dbPr connection="Provider=Microsoft.Mashup.OleDb.1;Data Source=$Workbook$;Location=&quot;dashboard (2)&quot;;Extended Properties=&quot;&quot;" command="SELECT * FROM [dashboard (2)]"/>
  </connection>
  <connection id="36" xr16:uid="{CB360A62-FCF9-4B00-A040-70D3A08DEDFB}" keepAlive="1" name="Query - dashboard (3)" description="Connection to the 'dashboard (3)' query in the workbook." type="5" refreshedVersion="8" background="1">
    <dbPr connection="Provider=Microsoft.Mashup.OleDb.1;Data Source=$Workbook$;Location=&quot;dashboard (3)&quot;;Extended Properties=&quot;&quot;" command="SELECT * FROM [dashboard (3)]"/>
  </connection>
</connections>
</file>

<file path=xl/sharedStrings.xml><?xml version="1.0" encoding="utf-8"?>
<sst xmlns="http://schemas.openxmlformats.org/spreadsheetml/2006/main" count="968" uniqueCount="420">
  <si>
    <t>#=================================================================</t>
  </si>
  <si>
    <t># Traffic</t>
  </si>
  <si>
    <t># Report suite: GC</t>
  </si>
  <si>
    <t># Segments: IRCC - EN &amp; FR, Public traffic</t>
  </si>
  <si>
    <t>##############################################</t>
  </si>
  <si>
    <t>Page Views per Visit</t>
  </si>
  <si>
    <t>Month before</t>
  </si>
  <si>
    <t>Day</t>
  </si>
  <si>
    <t>Page Views</t>
  </si>
  <si>
    <t># Key metric summary Data</t>
  </si>
  <si>
    <t>Visits</t>
  </si>
  <si>
    <t>Daily average visits</t>
  </si>
  <si>
    <t>Daily average page views</t>
  </si>
  <si>
    <t># Device types</t>
  </si>
  <si>
    <t>mobile</t>
  </si>
  <si>
    <t>desktop</t>
  </si>
  <si>
    <t>tablet</t>
  </si>
  <si>
    <t>% mobile visits (min 1K visits)</t>
  </si>
  <si>
    <t>www.canada.ca/en/immigration-refugees-citizenship/campaigns/before-apply-india-hi.html</t>
  </si>
  <si>
    <t># Referrer types</t>
  </si>
  <si>
    <t>Entries</t>
  </si>
  <si>
    <t>Referrer Type</t>
  </si>
  <si>
    <t>Search Engines</t>
  </si>
  <si>
    <t>Referring Domain</t>
  </si>
  <si>
    <t>google.com</t>
  </si>
  <si>
    <t>google.ca</t>
  </si>
  <si>
    <t>bing.com</t>
  </si>
  <si>
    <t>yahoo.com</t>
  </si>
  <si>
    <t>google.co.in</t>
  </si>
  <si>
    <t>Typed/Bookmarked</t>
  </si>
  <si>
    <t>Other Web Sites</t>
  </si>
  <si>
    <t>Social Networks</t>
  </si>
  <si>
    <t>facebook.com</t>
  </si>
  <si>
    <t>youtube.com</t>
  </si>
  <si>
    <t>t.co</t>
  </si>
  <si>
    <t>Hard Drive</t>
  </si>
  <si>
    <t xml:space="preserve"># Top pages (E/F) </t>
  </si>
  <si>
    <t>Immigration and citizenship</t>
  </si>
  <si>
    <t>My application</t>
  </si>
  <si>
    <t>Check processing times</t>
  </si>
  <si>
    <t># Top 10 topics on theme page</t>
  </si>
  <si>
    <t>Activity Map Link Instances</t>
  </si>
  <si>
    <t>Activity Map Page</t>
  </si>
  <si>
    <t>Visit</t>
  </si>
  <si>
    <t>Immigrate</t>
  </si>
  <si>
    <t>Work</t>
  </si>
  <si>
    <t>Study</t>
  </si>
  <si>
    <t># Top visit programs</t>
  </si>
  <si>
    <t>Visit Canada</t>
  </si>
  <si>
    <t>Apply for a visitor visa</t>
  </si>
  <si>
    <t>Apply for an Electronic Travel Authorization (eTA)</t>
  </si>
  <si>
    <t>Stay in Canada longer</t>
  </si>
  <si>
    <t>Visitor visas for workers and students</t>
  </si>
  <si>
    <t>Check your application status</t>
  </si>
  <si>
    <t># Top 10 work programs</t>
  </si>
  <si>
    <t>Get a work permit</t>
  </si>
  <si>
    <t>Temporary workers</t>
  </si>
  <si>
    <t>Work and travel in Canada with International Experience Canada</t>
  </si>
  <si>
    <t>Caregivers</t>
  </si>
  <si>
    <t>Agricultural workers</t>
  </si>
  <si>
    <t>Open work permit for vulnerable foreign workers</t>
  </si>
  <si>
    <t># Top 10 immigration programs</t>
  </si>
  <si>
    <t>Immigrate to Canada</t>
  </si>
  <si>
    <t>Express Entry</t>
  </si>
  <si>
    <t>Family sponsorship</t>
  </si>
  <si>
    <t>Provincial nominees</t>
  </si>
  <si>
    <t>Atlantic Immigration Program</t>
  </si>
  <si>
    <t># Top 10 clicks on Study</t>
  </si>
  <si>
    <t>Study in Canada as an international student</t>
  </si>
  <si>
    <t>Get a study permit</t>
  </si>
  <si>
    <t>Extend your study permit or restore your status</t>
  </si>
  <si>
    <t>Sign in to your study permit account</t>
  </si>
  <si>
    <t>Find out if you need a study permit</t>
  </si>
  <si>
    <t>Work while studying</t>
  </si>
  <si>
    <t>Choosing a school, college or university</t>
  </si>
  <si>
    <t>Stay and work in Canada after you graduate</t>
  </si>
  <si>
    <t># Top content (FR)</t>
  </si>
  <si>
    <t># Top topics on theme page (FR)</t>
  </si>
  <si>
    <t>Ma demande</t>
  </si>
  <si>
    <t>Immigrer</t>
  </si>
  <si>
    <t>Visiter</t>
  </si>
  <si>
    <t>Travailler</t>
  </si>
  <si>
    <t># Top visit programs (FR)</t>
  </si>
  <si>
    <t>Visiter le Canada</t>
  </si>
  <si>
    <t>Demander un visa de visiteur</t>
  </si>
  <si>
    <t># Top 10 immigration programs (FR)</t>
  </si>
  <si>
    <t>Immigrer au Canada</t>
  </si>
  <si>
    <t>Candidats des provinces</t>
  </si>
  <si>
    <t># Top 10 work programs (FR)</t>
  </si>
  <si>
    <t>Obtenir un permis de travail</t>
  </si>
  <si>
    <t>Travailleurs temporaires</t>
  </si>
  <si>
    <t>Survey Data - TSS - Institution (Sampling)</t>
  </si>
  <si>
    <t>Survey Data - Satisfaction - % satisfied or very satisfied</t>
  </si>
  <si>
    <t>Survey Data - Ease - % who said it was easy or very easy to do what they needed to do online</t>
  </si>
  <si>
    <t>Survey Data - Effectiveness - % able to complete the purpose of their visit</t>
  </si>
  <si>
    <t>Survey Data - TSS - Task (Sampling)</t>
  </si>
  <si>
    <t>TSS task completion % (min 384 responses)</t>
  </si>
  <si>
    <t>Apply for a work permit</t>
  </si>
  <si>
    <t>Apply for Canadian citizenship</t>
  </si>
  <si>
    <t>Apply for a visitor visa to Canada</t>
  </si>
  <si>
    <t>Renew a Canadian passport</t>
  </si>
  <si>
    <t>Immigrate through Express Entry</t>
  </si>
  <si>
    <t>Contact Immigration, Refugees and Citizenship Canada</t>
  </si>
  <si>
    <t># Task success (last 12 mos)</t>
  </si>
  <si>
    <t># Last 12 months</t>
  </si>
  <si>
    <t># Segments: IRCC - EN &amp; FR, Public Traffic</t>
  </si>
  <si>
    <t>% of visits that click on Contact Us link in footer (min 1K visits)</t>
  </si>
  <si>
    <t>% of visits that click on Help Centre link in footer (min 1K visits)</t>
  </si>
  <si>
    <t># Top news releases</t>
  </si>
  <si>
    <t>news releases</t>
  </si>
  <si>
    <t>IRCC news</t>
  </si>
  <si>
    <t># Top web notices</t>
  </si>
  <si>
    <t>IRCC web notices</t>
  </si>
  <si>
    <t>IRCC crisis content (E/F)</t>
  </si>
  <si>
    <t>% of IRCC traffic to crisis content</t>
  </si>
  <si>
    <t># Top campaign landing pages</t>
  </si>
  <si>
    <t>IRCC campaigns (E/F)</t>
  </si>
  <si>
    <t># Top UTM campaigns</t>
  </si>
  <si>
    <t>Visit your children or grandchildren</t>
  </si>
  <si>
    <t>Quebec-selected skilled workers</t>
  </si>
  <si>
    <t>Find a school (designated learning institution)</t>
  </si>
  <si>
    <t>Get a post-graduation work permit</t>
  </si>
  <si>
    <t>Apply for a study permit</t>
  </si>
  <si>
    <t>IRCC accounts - sign in and register</t>
  </si>
  <si>
    <t>Find a designated learning institution</t>
  </si>
  <si>
    <t># Top special measures content</t>
  </si>
  <si>
    <t>Start-up visa</t>
  </si>
  <si>
    <t>Month</t>
  </si>
  <si>
    <t>www.canada.ca/en/immigration-refugees-citizenship/services/canadian-passports/help-centre.html</t>
  </si>
  <si>
    <t>www.canada.ca/en/immigration-refugees-citizenship/corporate/contact-ircc/client-support-centre.html</t>
  </si>
  <si>
    <t>www.canada.ca/fr/immigration-refugies-citoyennete/organisation/contactez-ircc/centre-soutien-clientele.html</t>
  </si>
  <si>
    <t>www.canada.ca/fr/immigration-refugies-citoyennete/organisation/contactez-ircc.html</t>
  </si>
  <si>
    <t>ircc-ircc-passport-tips-2023</t>
  </si>
  <si>
    <t>www.canada.ca/fr/immigration-refugies-citoyennete/organisation/publications-guides/renseignements-demandeurs-dasile-ar.html</t>
  </si>
  <si>
    <t># Traffic (updated)</t>
  </si>
  <si>
    <t># Mobile (updated)</t>
  </si>
  <si>
    <t># Top mobile pages (updated)</t>
  </si>
  <si>
    <t># Traffic sources (same)</t>
  </si>
  <si>
    <t>linkedin.com</t>
  </si>
  <si>
    <t># Top content (same)</t>
  </si>
  <si>
    <t>www.canada.ca/en/immigration-refugees-citizenship/services/application/account.html</t>
  </si>
  <si>
    <t>www.canada.ca/en/services/immigration-citizenship.html</t>
  </si>
  <si>
    <t>www.canada.ca/en/immigration-refugees-citizenship/services/application/ircc-accounts.html</t>
  </si>
  <si>
    <t>www.canada.ca/en/immigration-refugees-citizenship/services/application/check-processing-times.html</t>
  </si>
  <si>
    <t>ircc.canada.ca/english/helpcentre/answer.asp</t>
  </si>
  <si>
    <t>www.canada.ca/en/immigration-refugees-citizenship/services/application/check-status.html</t>
  </si>
  <si>
    <t>www.canada.ca/fr/immigration-refugies-citoyennete/services/demande/compte.html</t>
  </si>
  <si>
    <t>www.canada.ca/en/immigration-refugees-citizenship/services/application.html</t>
  </si>
  <si>
    <t>Citizenship</t>
  </si>
  <si>
    <t>New immigrants</t>
  </si>
  <si>
    <t>Refugees and asylum</t>
  </si>
  <si>
    <t>Canadians</t>
  </si>
  <si>
    <t>Immigration fraud and scams</t>
  </si>
  <si>
    <t>Visit Canada on business</t>
  </si>
  <si>
    <t>Transit through Canada</t>
  </si>
  <si>
    <t>Business people</t>
  </si>
  <si>
    <t>H-1B visa holder work permit</t>
  </si>
  <si>
    <t>Open work permit for Hong Kong recent graduates</t>
  </si>
  <si>
    <t>French-speaking workers outside Quebec</t>
  </si>
  <si>
    <t>Open work permit for Ukrainian nationals</t>
  </si>
  <si>
    <t>Refugees</t>
  </si>
  <si>
    <t>Agri-Food Pilot</t>
  </si>
  <si>
    <t># Top 10 study programs</t>
  </si>
  <si>
    <t>Nouveaux immigrants</t>
  </si>
  <si>
    <t>Canadiens</t>
  </si>
  <si>
    <t>Visiter le Canada pour affaires</t>
  </si>
  <si>
    <t>Transiter par le Canada</t>
  </si>
  <si>
    <t>Aides familiaux</t>
  </si>
  <si>
    <t>Travailleurs agricoles</t>
  </si>
  <si>
    <t>Permis de travail pour les titulaires de visas H-1B</t>
  </si>
  <si>
    <t>Permis de travail ouvert pour les ressortissants Ukrainiens</t>
  </si>
  <si>
    <t># Task success (last quarter) (no change)</t>
  </si>
  <si>
    <t># Segments: TSS Survey Data - Reason of Visit - Lead Department (v120c) equals any of IRCC, Survey Data - TSS - Exclude 'I started this survey before I finished my visit', Survey Data - TSS - Exclude testing</t>
  </si>
  <si>
    <t># Effectiveness/Ease/Satisfaction/Completion</t>
  </si>
  <si>
    <t># Best and worst tasks</t>
  </si>
  <si>
    <t># Contact us &amp; Help Centre (same)</t>
  </si>
  <si>
    <t># Pages leading to Contact us (same)</t>
  </si>
  <si>
    <t>ircc.canada.ca/english/helpcentre/index-featured-int.asp</t>
  </si>
  <si>
    <t># Pages leading to Help Centre (same)</t>
  </si>
  <si>
    <t># News (updated)</t>
  </si>
  <si>
    <t>www.canada.ca/en/immigration-refugees-citizenship/news/2024/06/canada-announces-new-pilot-programs-to-support-caregivers-and-canadian-families.html</t>
  </si>
  <si>
    <t># Special measures (updated)</t>
  </si>
  <si>
    <t>www.canada.ca/en/immigration-refugees-citizenship/services/iran.html</t>
  </si>
  <si>
    <t>www.canada.ca/en/immigration-refugees-citizenship/services/sudan2023.html</t>
  </si>
  <si>
    <t># Campaigns (updated)</t>
  </si>
  <si>
    <t>Daily average visits - Month before</t>
  </si>
  <si>
    <t>Visits - Month before</t>
  </si>
  <si>
    <t>Page Views - Month before</t>
  </si>
  <si>
    <t>Page Views per Visit - Month before</t>
  </si>
  <si>
    <t>Daily average page views - Month before</t>
  </si>
  <si>
    <t>Device Type</t>
  </si>
  <si>
    <t>Page URL</t>
  </si>
  <si>
    <t>Page Title</t>
  </si>
  <si>
    <t>Know the rules before you apply to travel to Canada from India</t>
  </si>
  <si>
    <t>معلومات لمقدمي طلبات اللجوء</t>
  </si>
  <si>
    <t>Sign in to your IRCC secure account</t>
  </si>
  <si>
    <t>Sign in to your IRCC account</t>
  </si>
  <si>
    <t>How to check your application status</t>
  </si>
  <si>
    <t>Ouvrir une session dans votre compte sécurisé d’IRCC</t>
  </si>
  <si>
    <t>www.canada.ca/en/immigration-refugees-citizenship/services/visit-canada.html</t>
  </si>
  <si>
    <t>www.canada.ca/en/immigration-refugees-citizenship/services/immigrate-canada.html</t>
  </si>
  <si>
    <t>www.canada.ca/en/immigration-refugees-citizenship/services/work-canada.html</t>
  </si>
  <si>
    <t>www.canada.ca/en/immigration-refugees-citizenship/services/study-canada.html</t>
  </si>
  <si>
    <t>www.canada.ca/en/immigration-refugees-citizenship/services/canadian-citizenship.html</t>
  </si>
  <si>
    <t>www.canada.ca/en/immigration-refugees-citizenship/services/new-immigrants.html</t>
  </si>
  <si>
    <t>www.canada.ca/en/immigration-refugees-citizenship/services/refugees.html</t>
  </si>
  <si>
    <t>www.canada.ca/en/immigration-refugees-citizenship/services/canadians.html</t>
  </si>
  <si>
    <t>www.canada.ca/en/immigration-refugees-citizenship/services/protect-fraud.html</t>
  </si>
  <si>
    <t>www.canada.ca/en/immigration-refugees-citizenship/services/visit-canada/visitor-visa.html</t>
  </si>
  <si>
    <t>www.canada.ca/en/immigration-refugees-citizenship/services/visit-canada/eta.html</t>
  </si>
  <si>
    <t>www.canada.ca/en/immigration-refugees-citizenship/services/visit-canada/extend-stay.html</t>
  </si>
  <si>
    <t>www.canada.ca/en/immigration-refugees-citizenship/services/visit-canada/apply-new-temporary-resident-visa-within-canada.html</t>
  </si>
  <si>
    <t>www.canada.ca/en/immigration-refugees-citizenship/services/visit-canada/parent-grandparent-super-visa.html</t>
  </si>
  <si>
    <t>www.canada.ca/en/immigration-refugees-citizenship/services/visit-canada/business.html</t>
  </si>
  <si>
    <t>www.canada.ca/en/immigration-refugees-citizenship/services/visit-canada/transit.html</t>
  </si>
  <si>
    <t>www.canada.ca/en/immigration-refugees-citizenship/services/immigrate-canada/express-entry.html</t>
  </si>
  <si>
    <t>www.canada.ca/en/immigration-refugees-citizenship/services/immigrate-canada/family-sponsorship.html</t>
  </si>
  <si>
    <t>www.canada.ca/en/immigration-refugees-citizenship/services/immigrate-canada/provincial-nominees.html</t>
  </si>
  <si>
    <t>www.canada.ca/en/immigration-refugees-citizenship/services/immigrate-canada/caregivers.html</t>
  </si>
  <si>
    <t>Temporary resident to permanent resident pathway</t>
  </si>
  <si>
    <t>www.canada.ca/en/immigration-refugees-citizenship/services/immigrate-canada/tr-pr-pathway.html</t>
  </si>
  <si>
    <t>www.canada.ca/en/immigration-refugees-citizenship/services/immigrate-canada/atlantic-immigration.html</t>
  </si>
  <si>
    <t>www.canada.ca/en/immigration-refugees-citizenship/services/immigrate-canada/quebec-skilled-workers.html</t>
  </si>
  <si>
    <t>www.canada.ca/en/immigration-refugees-citizenship/services/immigrate-canada/start-visa.html</t>
  </si>
  <si>
    <t>Rural and Northern Immigration Pilot</t>
  </si>
  <si>
    <t>www.canada.ca/en/immigration-refugees-citizenship/services/immigrate-canada/rural-northern-immigration-pilot.html</t>
  </si>
  <si>
    <t>www.canada.ca/en/immigration-refugees-citizenship/services/work-canada/permit/temporary.html</t>
  </si>
  <si>
    <t>www.canada.ca/en/immigration-refugees-citizenship/services/work-canada/permit/agricultural-workers-work-temporarily.html</t>
  </si>
  <si>
    <t>www.canada.ca/en/immigration-refugees-citizenship/services/work-canada/iec.html</t>
  </si>
  <si>
    <t>www.canada.ca/en/immigration-refugees-citizenship/services/work-canada/permit/temporary/vulnerable-workers.html</t>
  </si>
  <si>
    <t>www.canada.ca/en/immigration-refugees-citizenship/services/work-canada/permit/business-people.html</t>
  </si>
  <si>
    <t>www.canada.ca/en/immigration-refugees-citizenship/services/work-canada/permit/h1b.html</t>
  </si>
  <si>
    <t>www.canada.ca/en/immigration-refugees-citizenship/services/work-canada/permit/open-work-permit-hong-kong-recent-graduates.html</t>
  </si>
  <si>
    <t>www.canada.ca/en/immigration-refugees-citizenship/services/work-canada/permit/francophone-mobility.html</t>
  </si>
  <si>
    <t>www.canada.ca/en/immigration-refugees-citizenship/services/immigrate-canada/ukraine-measures/ukraine-open-work-permit.html</t>
  </si>
  <si>
    <t>www.canada.ca/en/immigration-refugees-citizenship/services/study-canada/extend-study-permit.html</t>
  </si>
  <si>
    <t>www.canada.ca/en/immigration-refugees-citizenship/services/study-canada/study-permit.html</t>
  </si>
  <si>
    <t>www.canada.ca/en/immigration-refugees-citizenship/services/study-canada/study-permit-account.html</t>
  </si>
  <si>
    <t>www.canada.ca/en/immigration-refugees-citizenship/services/study-canada/study-permit/study-permit-tool.html</t>
  </si>
  <si>
    <t>www.canada.ca/en/immigration-refugees-citizenship/services/study-canada/study-permit/prepare/choose-school-college-university.html</t>
  </si>
  <si>
    <t>www.canada.ca/en/immigration-refugees-citizenship/services/study-canada/study-permit/prepare/designated-learning-institutions-list.html</t>
  </si>
  <si>
    <t>www.canada.ca/en/immigration-refugees-citizenship/services/study-canada/work.html</t>
  </si>
  <si>
    <t>www.canada.ca/en/immigration-refugees-citizenship/services/study-canada/work/after-graduation.html</t>
  </si>
  <si>
    <t>Student Direct Stream</t>
  </si>
  <si>
    <t>www.canada.ca/en/immigration-refugees-citizenship/services/study-canada/study-permit/student-direct-stream.html</t>
  </si>
  <si>
    <t>www.canada.ca/en/immigration-refugees-citizenship/services/study-canada/work/after-graduation/about.html</t>
  </si>
  <si>
    <t>www.canada.ca/fr/immigration-refugies-citoyennete/services/demande.html</t>
  </si>
  <si>
    <t>www.canada.ca/fr/immigration-refugies-citoyennete/services/visiter-canada.html</t>
  </si>
  <si>
    <t>www.canada.ca/fr/immigration-refugies-citoyennete/services/immigrer-canada.html</t>
  </si>
  <si>
    <t>www.canada.ca/fr/immigration-refugies-citoyennete/services/travailler-canada.html</t>
  </si>
  <si>
    <t>Étudier</t>
  </si>
  <si>
    <t>www.canada.ca/fr/immigration-refugies-citoyennete/services/etudier-canada.html</t>
  </si>
  <si>
    <t>Citoyenneté</t>
  </si>
  <si>
    <t>www.canada.ca/fr/immigration-refugies-citoyennete/services/citoyennete-canadienne.html</t>
  </si>
  <si>
    <t>www.canada.ca/fr/immigration-refugies-citoyennete/services/nouveaux-immigrants.html</t>
  </si>
  <si>
    <t>Réfugiés et octroi de l’asile</t>
  </si>
  <si>
    <t>www.canada.ca/fr/immigration-refugies-citoyennete/services/refugies.html</t>
  </si>
  <si>
    <t>www.canada.ca/fr/immigration-refugies-citoyennete/services/canadiens.html</t>
  </si>
  <si>
    <t>Fraudes et arnaques en matière d’immigration</t>
  </si>
  <si>
    <t>www.canada.ca/fr/immigration-refugies-citoyennete/services/proteger-fraude.html</t>
  </si>
  <si>
    <t>www.canada.ca/fr/immigration-refugies-citoyennete/services/visiter-canada/visa-visiteur.html</t>
  </si>
  <si>
    <t>Présenter une demande d’autorisation de voyage électronique (AVE)</t>
  </si>
  <si>
    <t>www.canada.ca/fr/immigration-refugies-citoyennete/services/visiter-canada/ave.html</t>
  </si>
  <si>
    <t>Prolonger votre séjour au Canada</t>
  </si>
  <si>
    <t>www.canada.ca/fr/immigration-refugies-citoyennete/services/visiter-canada/prolonger-sejour.html</t>
  </si>
  <si>
    <t>Visas de visiteurs pour les travailleurs et les étudiants</t>
  </si>
  <si>
    <t>www.canada.ca/fr/immigration-refugies-citoyennete/services/visiter-canada/presenter-demande-afin-obtenir-nouveau-visa-resident-temporaire-canada.html</t>
  </si>
  <si>
    <t>Rendre visite à vos enfants et petits-enfants</t>
  </si>
  <si>
    <t>www.canada.ca/fr/immigration-refugies-citoyennete/services/visiter-canada/super-visa-parents-grands-parents.html</t>
  </si>
  <si>
    <t>www.canada.ca/fr/immigration-refugies-citoyennete/services/visiter-canada/affaires.html</t>
  </si>
  <si>
    <t>www.canada.ca/fr/immigration-refugies-citoyennete/services/visiter-canada/transiter.html</t>
  </si>
  <si>
    <t>Entrée express</t>
  </si>
  <si>
    <t>www.canada.ca/fr/immigration-refugies-citoyennete/services/immigrer-canada/entree-express.html</t>
  </si>
  <si>
    <t>Parrainage d’un membre de la famille</t>
  </si>
  <si>
    <t>www.canada.ca/fr/immigration-refugies-citoyennete/services/immigrer-canada/parrainer-membre-famille.html</t>
  </si>
  <si>
    <t>www.canada.ca/fr/immigration-refugies-citoyennete/services/immigrer-canada/candidats-provinces.html</t>
  </si>
  <si>
    <t>www.canada.ca/fr/immigration-refugies-citoyennete/services/immigrer-canada/aides-familiaux.html</t>
  </si>
  <si>
    <t>Voie d’accès de la résidence temporaire à la résidence permanente</t>
  </si>
  <si>
    <t>www.canada.ca/fr/immigration-refugies-citoyennete/services/immigrer-canada/voie-dacces-rt-rp.html</t>
  </si>
  <si>
    <t>Programme d’immigration au Canada atlantique</t>
  </si>
  <si>
    <t>www.canada.ca/fr/immigration-refugies-citoyennete/services/immigrer-canada/programme-immigration-atlantique.html</t>
  </si>
  <si>
    <t>Travailleurs qualifiés sélectionnés par le Québec</t>
  </si>
  <si>
    <t>www.canada.ca/fr/immigration-refugies-citoyennete/services/immigrer-canada/travailleurs-qualifies-quebec.html</t>
  </si>
  <si>
    <t>Visa pour démarrage d’entreprise</t>
  </si>
  <si>
    <t>www.canada.ca/fr/immigration-refugies-citoyennete/services/immigrer-canada/visa-demarrage.html</t>
  </si>
  <si>
    <t>Programme pilote d’immigration dans les communautés rurales et du Nord</t>
  </si>
  <si>
    <t>www.canada.ca/fr/immigration-refugies-citoyennete/services/immigrer-canada/programme-pilote-immigration-rurale-nord.html</t>
  </si>
  <si>
    <t>Réfugiés</t>
  </si>
  <si>
    <t>www.canada.ca/fr/immigration-refugies-citoyennete/services/travailler-canada/permis/temporaire.html</t>
  </si>
  <si>
    <t>www.canada.ca/fr/immigration-refugies-citoyennete/services/travailler-canada/permis/travailleurs-agricoles-travailler-temporairement.html</t>
  </si>
  <si>
    <t>Travailler et voyager au Canada avec Expérience internationale Canada</t>
  </si>
  <si>
    <t>www.canada.ca/fr/immigration-refugies-citoyennete/services/travailler-canada/eic.html</t>
  </si>
  <si>
    <t>Permis de travail ouvert pour les travailleurs étrangers vulnérables</t>
  </si>
  <si>
    <t>www.canada.ca/fr/immigration-refugies-citoyennete/services/travailler-canada/permis/temporaire/travailleurs-vulnerables.html</t>
  </si>
  <si>
    <t>Gens d’affaires</t>
  </si>
  <si>
    <t>www.canada.ca/fr/immigration-refugies-citoyennete/services/travailler-canada/permis/gens-affaires.html</t>
  </si>
  <si>
    <t>www.canada.ca/fr/immigration-refugies-citoyennete/services/travailler-canada/permis/h1b.html</t>
  </si>
  <si>
    <t>Permis de travail ouvert pour les nouveaux diplômés de Hong Kong</t>
  </si>
  <si>
    <t>www.canada.ca/fr/immigration-refugies-citoyennete/services/travailler-canada/permis/permit-travail-ouvert-nouveaux-diplomes-hong-kong.html</t>
  </si>
  <si>
    <t>Travailleurs d’expression française hors du Québec</t>
  </si>
  <si>
    <t>www.canada.ca/fr/immigration-refugies-citoyennete/services/travailler-canada/permis/mobilite-francophone.html</t>
  </si>
  <si>
    <t>www.canada.ca/fr/immigration-refugies-citoyennete/services/immigrer-canada/mesures-ukraine/ukraine-permis-travail-ouvert.html</t>
  </si>
  <si>
    <t>Faire prolonger un permis d’études ou rétablir son statuts</t>
  </si>
  <si>
    <t>www.canada.ca/fr/immigration-refugies-citoyennete/services/etudier-canada/prolongation-permis-etudes.html</t>
  </si>
  <si>
    <t>Obtenir un permis d’études</t>
  </si>
  <si>
    <t>www.canada.ca/fr/immigration-refugies-citoyennete/services/etudier-canada/permis-etudes.html</t>
  </si>
  <si>
    <t>Ouvrez une session dans votre compte de demande de permis d’études</t>
  </si>
  <si>
    <t>www.canada.ca/fr/immigration-refugies-citoyennete/services/etudier-canada/demande-permis-etudes.html</t>
  </si>
  <si>
    <t>Vérifiez si vous avez besoin d’un permis d’études</t>
  </si>
  <si>
    <t>www.canada.ca/fr/immigration-refugies-citoyennete/services/etudier-canada/permis-etudes/outil-permis-etudes.html</t>
  </si>
  <si>
    <t>Choisir une école, un collège ou une université</t>
  </si>
  <si>
    <t>www.canada.ca/fr/immigration-refugies-citoyennete/services/etudier-canada/permis-etudes/preparer.html</t>
  </si>
  <si>
    <t>Trouver un établissement d’enseignement (établissement d’enseignement désigné)</t>
  </si>
  <si>
    <t>www.canada.ca/fr/immigration-refugies-citoyennete/services/etudier-canada/permis-etudes/preparer/liste-etablissements-enseignement-designes.html</t>
  </si>
  <si>
    <t>Travailler pendant ses études</t>
  </si>
  <si>
    <t>www.canada.ca/fr/immigration-refugies-citoyennete/services/etudier-canada/travail.html</t>
  </si>
  <si>
    <t>Rester et travailler au Canada après l’obtention de votre diplôme</t>
  </si>
  <si>
    <t>www.canada.ca/fr/immigration-refugies-citoyennete/services/etudier-canada/travail/apres-obtention-diplome.html</t>
  </si>
  <si>
    <t>Volet direct pour les études</t>
  </si>
  <si>
    <t>www.canada.ca/fr/immigration-refugies-citoyennete/services/etudier-canada/permis-etudes/volet-direct-etudes.html</t>
  </si>
  <si>
    <t>Obtenir un permis de travail postdiplôme</t>
  </si>
  <si>
    <t>Link</t>
  </si>
  <si>
    <t>Clicks</t>
  </si>
  <si>
    <t>TSS completion</t>
  </si>
  <si>
    <t>TSS completion - Last month</t>
  </si>
  <si>
    <t>TSS ease</t>
  </si>
  <si>
    <t>TSS ease - Last month</t>
  </si>
  <si>
    <t>TSS satisfaction</t>
  </si>
  <si>
    <t>TSS satisfaction - Last month</t>
  </si>
  <si>
    <t>TSS surveys responded</t>
  </si>
  <si>
    <t>TSS surveys responded - Last month</t>
  </si>
  <si>
    <t>Task</t>
  </si>
  <si>
    <t>Surveys completed</t>
  </si>
  <si>
    <t>Passport Help Centre</t>
  </si>
  <si>
    <t>Client Support Centre services — Immigration, Refugees and Citizenship Canada</t>
  </si>
  <si>
    <t>Services du Centre de soutien à la clientèle d’Immigration, Réfugiés et Citoyenneté Canada</t>
  </si>
  <si>
    <t>Contactez Immigration, Réfugiés et Citoyenneté Canada</t>
  </si>
  <si>
    <t>News release</t>
  </si>
  <si>
    <t>Canada announces new pilot programs to support caregivers and Canadian families, intends to make the caregivers program permanent</t>
  </si>
  <si>
    <t>Web notice</t>
  </si>
  <si>
    <t>Special measures (E/F)</t>
  </si>
  <si>
    <t>% of IRCC traffic to special measures</t>
  </si>
  <si>
    <t>Campaign</t>
  </si>
  <si>
    <t>UTM Campaign</t>
  </si>
  <si>
    <t>Find your National Occupational Classification (NOC)</t>
  </si>
  <si>
    <t>www.canada.ca/en/immigration-refugees-citizenship/news/notices/supplementary-immigration-levels-2025-2027.html</t>
  </si>
  <si>
    <t>Notice – Supplementary Information for the 2025-2027 Immigration Levels Plan</t>
  </si>
  <si>
    <t>Check the status of a passport application</t>
  </si>
  <si>
    <t>Immigrate as a provincial nominee</t>
  </si>
  <si>
    <t>www.canada.ca/en/immigration-refugees-citizenship/corporate/contact-ircc/international-experience-canada.html</t>
  </si>
  <si>
    <t>Contact International Experience Canada</t>
  </si>
  <si>
    <t>Immigration et citoyenneté</t>
  </si>
  <si>
    <t>Étudier au Canada à titre d’étudiant étranger</t>
  </si>
  <si>
    <t>Survey Data - GC Task Success Survey Completed / Données du sondage - Sondage sur la réussite de tâches du GC terminé (e120)</t>
  </si>
  <si>
    <t>Page URL (v12)</t>
  </si>
  <si>
    <t>www.canada.ca/en/immigration-refugees-citizenship/campaigns/claiming-asylum-fa.html</t>
  </si>
  <si>
    <t>www.canada.ca/en/immigration-refugees-citizenship/campaigns/claiming-asylum-ar.html</t>
  </si>
  <si>
    <t>www.canada.ca/en/immigration-refugees-citizenship/services/immigrate-canada/express-entry/check-score.html</t>
  </si>
  <si>
    <t>www.canada.ca/en/immigration-refugees-citizenship/services/immigrate-canada/express-entry/rounds-invitations.html</t>
  </si>
  <si>
    <t>Enforcement and violations</t>
  </si>
  <si>
    <t>TSS Survey Data - Reason of Visit - Task (v120c)</t>
  </si>
  <si>
    <t>Work in Canada after my studies</t>
  </si>
  <si>
    <t>Apply through the Post-graduation work permit program</t>
  </si>
  <si>
    <t>Travel to Canada for business</t>
  </si>
  <si>
    <t>www.canada.ca/en/immigration-refugees-citizenship/news/notices/2025-provincial-territorial-allocations-under-international-student-cap.html</t>
  </si>
  <si>
    <t>www.canada.ca/en/immigration-refugees-citizenship/news/notices/change-health-insurance-requirement-makes-super-visa-more-accessible.html</t>
  </si>
  <si>
    <t>www.canada.ca/en/immigration-refugees-citizenship/services/israel-west-bank-gaza-2023.html</t>
  </si>
  <si>
    <t>www.canada.ca/fr/immigration-refugies-citoyennete/services/haiti-2024-fr.html</t>
  </si>
  <si>
    <t>ادعای پناهجویی در کانادا</t>
  </si>
  <si>
    <t>طلب اللجوء في كندا</t>
  </si>
  <si>
    <t>Check processing times at IRCC</t>
  </si>
  <si>
    <t>Express Entry: Check your score</t>
  </si>
  <si>
    <t>Express Entry: Rounds of invitations</t>
  </si>
  <si>
    <t>2025 provincial and territorial allocations under the international student cap</t>
  </si>
  <si>
    <t>Change to health insurance requirement makes the super visa more accessible</t>
  </si>
  <si>
    <t>Inadmissibility, enforcement and violations</t>
  </si>
  <si>
    <t>IRCC Help Centre</t>
  </si>
  <si>
    <t>www.canada.ca/en/immigration-refugees-citizenship/services/immigrate-canada/ukraine-measures.html</t>
  </si>
  <si>
    <t>ircc-ircc-safe-and-orderly-migration</t>
  </si>
  <si>
    <t>Immigration measures and support for Ukrainians and their families</t>
  </si>
  <si>
    <t>Situation in Iran: Temporary immigration, passport and citizenship measures</t>
  </si>
  <si>
    <t># Date: Feb 1, 2025 - Feb 28, 2025</t>
  </si>
  <si>
    <t>Jan 1, 2025 - Jan 31, 2025</t>
  </si>
  <si>
    <t>www.canada.ca/en/immigration-refugees-citizenship/campaigns/claiming-asylum-bn.html</t>
  </si>
  <si>
    <t>lnkd.in</t>
  </si>
  <si>
    <t>IRCC sign in</t>
  </si>
  <si>
    <t>Sign-in Click</t>
  </si>
  <si>
    <t>gens d’affaires</t>
  </si>
  <si>
    <t>Prior month: Jan 1, 2025 - Jan 31, 2025</t>
  </si>
  <si>
    <t>Apply for a permanent resident travel document</t>
  </si>
  <si>
    <t>Work in Canada</t>
  </si>
  <si>
    <t>Check if you need a visa or electronic travel authorization (eTA) to travel to Canada</t>
  </si>
  <si>
    <t>Find out if you need to give your fingerprints and photo (biometrics) and where to do that</t>
  </si>
  <si>
    <t>Apply for a new Canadian passport</t>
  </si>
  <si>
    <t>Work and travel in Canada as a youth (International Experience Canada)</t>
  </si>
  <si>
    <t>Find an IRCC application package or form</t>
  </si>
  <si>
    <t># Date: Mar 1, 2024 - Feb 28, 2025</t>
  </si>
  <si>
    <t>www.canada.ca/en/immigration-refugees-citizenship/news/2025/02/canada-announces-2025-express-entry-category-based-draws-plans-for-more-in-canada-draws-to-reduce-labour-shortages.html</t>
  </si>
  <si>
    <t>www.canada.ca/en/immigration-refugees-citizenship/news/2023/06/canada-announces-new-immigration-stream-specific-to-health-workers.html</t>
  </si>
  <si>
    <t>www.canada.ca/en/immigration-refugees-citizenship/news/2025/02/canada-renews-commitment-to-welcome-people-affected-by-the-conflict-in-sudan.html</t>
  </si>
  <si>
    <t>www.canada.ca/en/immigration-refugees-citizenship/news/notices/changes-open-work-permits-family-members-temporary-residents.html</t>
  </si>
  <si>
    <t>www.canada.ca/fr/immigration-refugies-citoyennete/campagnes/choisir-canada.html</t>
  </si>
  <si>
    <t>www.canada.ca/en/immigration-refugees-citizenship/campaigns/choose-canada.html</t>
  </si>
  <si>
    <t>www.canada.ca/en/immigration-refugees-citizenship/campaigns/newcomer-services.html</t>
  </si>
  <si>
    <t>UTM Campaign (visit expiry) (v31)</t>
  </si>
  <si>
    <t>ircc-ircc-express-entry-24-25</t>
  </si>
  <si>
    <t>ircc-ircc-newcomer-services-24-25</t>
  </si>
  <si>
    <t>কানাডায় অ্যাসাইলাম (আশ্রয়) দাবি করা</t>
  </si>
  <si>
    <t>Canada announces 2025 Express Entry category-based draws, plans for more in-Canada draws to reduce labour shortages</t>
  </si>
  <si>
    <t>Canada announces new immigration stream specific to health workers</t>
  </si>
  <si>
    <t>Canada renews commitment to welcome people affected by the conflict in Sudan</t>
  </si>
  <si>
    <t>Changes to open work permits for family members of temporary residents</t>
  </si>
  <si>
    <t>Canada’s immigration response to the crisis in Sudan</t>
  </si>
  <si>
    <t>Newcomer services</t>
  </si>
  <si>
    <t>Can’t reach this page</t>
  </si>
  <si>
    <t>Interdiction de territoire, application de la loi et infractions</t>
  </si>
  <si>
    <t>www.canada.ca/fr/services/immigration-citoyennete/application-loi-infractions.html</t>
  </si>
  <si>
    <t>Francophone immigration</t>
  </si>
  <si>
    <t>Canadiens, résidents permanents et membres de leur famille immédiate qui habitent en Haïti</t>
  </si>
  <si>
    <t>Crisis in Israel, the West Bank and the Gaza Strip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</si>
</sst>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">
    <xf numFmtId="0" fontId="0" fillId="0" borderId="0" xfId="0"/>
    <xf numFmtId="1" fontId="0" fillId="0" borderId="0" xfId="0" applyNumberFormat="1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49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49" fontId="0" fillId="0" borderId="0" xfId="1" applyNumberFormat="1" applyFont="1"/>
    <xf numFmtId="0" fontId="0" fillId="0" borderId="0" xfId="1" applyNumberFormat="1" applyFont="1"/>
    <xf numFmtId="49" fontId="0" fillId="2" borderId="1" xfId="0" applyNumberFormat="1" applyFill="1" applyBorder="1"/>
    <xf numFmtId="0" fontId="0" fillId="3" borderId="2" xfId="0" applyFill="1" applyBorder="1"/>
    <xf numFmtId="0" fontId="0" fillId="0" borderId="2" xfId="0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6" borderId="1" xfId="0" applyNumberFormat="1" applyFill="1" applyBorder="1"/>
    <xf numFmtId="49" fontId="0" fillId="7" borderId="1" xfId="0" applyNumberFormat="1" applyFill="1" applyBorder="1"/>
    <xf numFmtId="0" fontId="0" fillId="2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0" borderId="0" xfId="0" applyFill="1"/>
    <xf numFmtId="2" fontId="0" fillId="0" borderId="0" xfId="0" quotePrefix="1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Karine.Bedard\Desktop\bring%20to%20main\keep\format-csv-dashboard-testing.xlsm" TargetMode="External"/><Relationship Id="rId1" Type="http://schemas.openxmlformats.org/officeDocument/2006/relationships/externalLinkPath" Target="/Users/Karine.Bedard/Desktop/bring%20to%20main/keep/format-csv-dashboard-test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MonthCalc"/>
      <sheetName val="URLs"/>
    </sheetNames>
    <sheetDataSet>
      <sheetData sheetId="0">
        <row r="564">
          <cell r="A564"/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8" xr16:uid="{8BA81165-8A80-45B3-AA86-995A7A72EE7A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32" xr16:uid="{BC3E41A4-FBCB-45FE-A9AE-EAC333478E79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0" xr16:uid="{4E716ADB-D3DE-4108-8321-605D7507C77C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33" xr16:uid="{09DA012D-78B6-4895-AB75-6900F9946B31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21" xr16:uid="{1830060F-18B5-45CA-9453-FECF6F2A5ACB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connectionId="26" xr16:uid="{B5C75B8D-B432-43B3-9FF1-1DD0A73672A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connectionId="29" xr16:uid="{6A34E550-4A20-458A-9794-A4B232C172A8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7" xr16:uid="{92A4F556-61C0-47DD-BA74-35120E663A7E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17" xr16:uid="{27045180-4CEC-4EB1-A4D7-A3FADF7D1625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5" xr16:uid="{E632B20A-378C-441D-9476-50868301D35C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19" xr16:uid="{87A2CDB6-72FD-40A9-84A7-4A9B4B171449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30" xr16:uid="{433A0837-44BA-4DE2-A682-103A706CA0F3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4" xr16:uid="{A89167CB-0A5C-4CA5-A066-C58CDA15D452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28" xr16:uid="{F04415E5-138B-48DC-A62B-A9C5BE1E6475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connectionId="23" xr16:uid="{B3373AD2-2A25-40BE-9860-BA86249C3DC1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25" xr16:uid="{A0C31900-FEA8-46AB-A69C-DC8937E1B3F3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6" xr16:uid="{E4F80583-EDD4-4B57-80DB-99A377F40E5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31" xr16:uid="{FAB707CE-0F66-4F1E-9241-9704A632ED65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connectionId="24" xr16:uid="{F6616C56-1FEB-48DF-B2E0-D3D7A070E7C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3" xr16:uid="{4E2EEAD6-79C5-489D-AA5D-C2723FD5EEEF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22" xr16:uid="{98E4F8E4-7660-4460-82FA-4C9A82C1EEDB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DD1A5-71E5-493C-92CA-31A9196B4602}">
  <sheetPr codeName="Sheet1"/>
  <dimension ref="A1:K1349"/>
  <sheetViews>
    <sheetView tabSelected="1" topLeftCell="A262" zoomScaleNormal="100" workbookViewId="0">
      <selection activeCell="A497" sqref="A497"/>
    </sheetView>
  </sheetViews>
  <sheetFormatPr defaultRowHeight="15" x14ac:dyDescent="0.25"/>
  <cols>
    <col min="1" max="1" width="81.140625" bestFit="1" customWidth="1"/>
    <col min="2" max="2" width="78" bestFit="1" customWidth="1"/>
    <col min="3" max="5" width="81.140625" bestFit="1" customWidth="1"/>
    <col min="6" max="7" width="50.42578125" bestFit="1" customWidth="1"/>
    <col min="8" max="9" width="81.140625" bestFit="1" customWidth="1"/>
    <col min="10" max="11" width="23.5703125" bestFit="1" customWidth="1"/>
    <col min="12" max="12" width="67.7109375" bestFit="1" customWidth="1"/>
    <col min="13" max="13" width="81.140625" bestFit="1" customWidth="1"/>
    <col min="14" max="14" width="50.42578125" bestFit="1" customWidth="1"/>
    <col min="15" max="16" width="81.140625" bestFit="1" customWidth="1"/>
    <col min="17" max="17" width="67.7109375" bestFit="1" customWidth="1"/>
    <col min="18" max="18" width="81.140625" bestFit="1" customWidth="1"/>
    <col min="19" max="19" width="50.42578125" bestFit="1" customWidth="1"/>
    <col min="20" max="21" width="81.140625" bestFit="1" customWidth="1"/>
    <col min="22" max="22" width="67.7109375" bestFit="1" customWidth="1"/>
    <col min="23" max="23" width="81.140625" bestFit="1" customWidth="1"/>
    <col min="24" max="24" width="50.42578125" bestFit="1" customWidth="1"/>
    <col min="25" max="26" width="81.140625" bestFit="1" customWidth="1"/>
    <col min="27" max="27" width="67.7109375" bestFit="1" customWidth="1"/>
    <col min="28" max="28" width="81.140625" bestFit="1" customWidth="1"/>
    <col min="29" max="29" width="50.42578125" bestFit="1" customWidth="1"/>
    <col min="30" max="31" width="81.140625" bestFit="1" customWidth="1"/>
    <col min="32" max="32" width="67.7109375" bestFit="1" customWidth="1"/>
    <col min="33" max="33" width="81.140625" bestFit="1" customWidth="1"/>
    <col min="34" max="34" width="50.42578125" bestFit="1" customWidth="1"/>
    <col min="35" max="36" width="81.140625" bestFit="1" customWidth="1"/>
    <col min="37" max="37" width="67.7109375" bestFit="1" customWidth="1"/>
    <col min="38" max="38" width="81.140625" bestFit="1" customWidth="1"/>
    <col min="39" max="39" width="50.42578125" bestFit="1" customWidth="1"/>
    <col min="40" max="41" width="81.140625" bestFit="1" customWidth="1"/>
    <col min="42" max="42" width="67.7109375" bestFit="1" customWidth="1"/>
    <col min="43" max="43" width="81.140625" bestFit="1" customWidth="1"/>
    <col min="44" max="44" width="50.42578125" bestFit="1" customWidth="1"/>
    <col min="45" max="45" width="81.140625" bestFit="1" customWidth="1"/>
  </cols>
  <sheetData>
    <row r="1" spans="1:11" x14ac:dyDescent="0.25">
      <c r="A1" t="s">
        <v>0</v>
      </c>
      <c r="B1" s="2"/>
    </row>
    <row r="2" spans="1:11" x14ac:dyDescent="0.25">
      <c r="A2" t="s">
        <v>134</v>
      </c>
      <c r="B2" s="1"/>
      <c r="C2" s="1"/>
      <c r="D2" s="1"/>
    </row>
    <row r="3" spans="1:11" x14ac:dyDescent="0.25">
      <c r="A3" t="s">
        <v>2</v>
      </c>
      <c r="B3" s="2"/>
    </row>
    <row r="4" spans="1:11" x14ac:dyDescent="0.25">
      <c r="A4" t="s">
        <v>381</v>
      </c>
      <c r="B4" s="2"/>
    </row>
    <row r="5" spans="1:11" x14ac:dyDescent="0.25">
      <c r="A5" t="s">
        <v>3</v>
      </c>
    </row>
    <row r="6" spans="1:11" x14ac:dyDescent="0.25">
      <c r="A6" t="s">
        <v>0</v>
      </c>
      <c r="B6" s="2"/>
    </row>
    <row r="7" spans="1:11" x14ac:dyDescent="0.25">
      <c r="B7" s="2"/>
    </row>
    <row r="8" spans="1:11" x14ac:dyDescent="0.25">
      <c r="B8" s="2"/>
    </row>
    <row r="9" spans="1:11" x14ac:dyDescent="0.25">
      <c r="A9" t="s">
        <v>4</v>
      </c>
      <c r="B9" s="2"/>
    </row>
    <row r="10" spans="1:11" x14ac:dyDescent="0.25">
      <c r="A10" t="s">
        <v>1</v>
      </c>
      <c r="B10" s="2"/>
    </row>
    <row r="11" spans="1:11" x14ac:dyDescent="0.25">
      <c r="A11" t="s">
        <v>4</v>
      </c>
      <c r="B11" s="2"/>
    </row>
    <row r="12" spans="1:11" x14ac:dyDescent="0.25">
      <c r="B12" s="2" t="s">
        <v>11</v>
      </c>
      <c r="C12" t="s">
        <v>11</v>
      </c>
      <c r="D12" t="s">
        <v>10</v>
      </c>
      <c r="E12" t="s">
        <v>382</v>
      </c>
      <c r="F12" t="s">
        <v>8</v>
      </c>
      <c r="G12" t="s">
        <v>382</v>
      </c>
      <c r="H12" t="s">
        <v>5</v>
      </c>
      <c r="I12" t="s">
        <v>382</v>
      </c>
      <c r="J12" t="s">
        <v>12</v>
      </c>
      <c r="K12" t="s">
        <v>382</v>
      </c>
    </row>
    <row r="13" spans="1:11" x14ac:dyDescent="0.25">
      <c r="B13" s="2" t="s">
        <v>11</v>
      </c>
      <c r="C13" t="s">
        <v>382</v>
      </c>
      <c r="D13" t="s">
        <v>10</v>
      </c>
      <c r="E13" t="s">
        <v>10</v>
      </c>
      <c r="F13" t="s">
        <v>8</v>
      </c>
      <c r="G13" t="s">
        <v>8</v>
      </c>
      <c r="H13" t="s">
        <v>5</v>
      </c>
      <c r="I13" t="s">
        <v>5</v>
      </c>
      <c r="J13" t="s">
        <v>12</v>
      </c>
      <c r="K13" t="s">
        <v>12</v>
      </c>
    </row>
    <row r="14" spans="1:11" x14ac:dyDescent="0.25">
      <c r="A14" t="s">
        <v>7</v>
      </c>
      <c r="B14" s="2" t="s">
        <v>11</v>
      </c>
      <c r="C14" t="s">
        <v>185</v>
      </c>
      <c r="D14" s="4" t="s">
        <v>10</v>
      </c>
      <c r="E14" s="4" t="s">
        <v>186</v>
      </c>
      <c r="F14" t="s">
        <v>8</v>
      </c>
      <c r="G14" t="s">
        <v>187</v>
      </c>
      <c r="H14" t="s">
        <v>5</v>
      </c>
      <c r="I14" t="s">
        <v>188</v>
      </c>
      <c r="J14" t="s">
        <v>12</v>
      </c>
      <c r="K14" t="s">
        <v>189</v>
      </c>
    </row>
    <row r="15" spans="1:11" x14ac:dyDescent="0.25">
      <c r="A15" s="2">
        <v>45689</v>
      </c>
      <c r="B15" s="4">
        <v>812525.53571428498</v>
      </c>
      <c r="C15" s="4">
        <v>853600.63333333295</v>
      </c>
      <c r="D15" s="4">
        <v>22750715</v>
      </c>
      <c r="E15" s="4">
        <v>25608019</v>
      </c>
      <c r="F15" s="4">
        <v>73417914</v>
      </c>
      <c r="G15" s="4">
        <v>83254292</v>
      </c>
      <c r="H15" s="4">
        <v>3.2270596330708701</v>
      </c>
      <c r="I15" s="4">
        <v>3.2511023988228001</v>
      </c>
      <c r="J15">
        <v>2622068.3571428498</v>
      </c>
      <c r="K15">
        <v>2775143.0666666599</v>
      </c>
    </row>
    <row r="16" spans="1:11" x14ac:dyDescent="0.25">
      <c r="A16" s="2"/>
      <c r="B16" s="4"/>
      <c r="C16" s="4"/>
      <c r="D16" s="4"/>
      <c r="E16" s="4"/>
      <c r="F16" s="4"/>
      <c r="G16" s="4"/>
      <c r="H16" s="4"/>
      <c r="I16" s="4"/>
    </row>
    <row r="17" spans="1:9" x14ac:dyDescent="0.25">
      <c r="A17" s="2"/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2" t="s">
        <v>0</v>
      </c>
      <c r="B18" s="4"/>
      <c r="C18" s="4"/>
      <c r="D18" s="4"/>
      <c r="E18" s="4"/>
      <c r="F18" s="4"/>
      <c r="G18" s="4"/>
      <c r="H18" s="4"/>
      <c r="I18" s="4"/>
    </row>
    <row r="19" spans="1:9" x14ac:dyDescent="0.25">
      <c r="A19" s="2" t="s">
        <v>135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2" t="s">
        <v>2</v>
      </c>
      <c r="B20" s="4"/>
      <c r="C20" s="4"/>
      <c r="D20" s="4"/>
      <c r="E20" s="4"/>
      <c r="F20" s="4"/>
      <c r="G20" s="4"/>
      <c r="H20" s="4"/>
      <c r="I20" s="4"/>
    </row>
    <row r="21" spans="1:9" x14ac:dyDescent="0.25">
      <c r="A21" s="2" t="s">
        <v>381</v>
      </c>
      <c r="B21" s="4"/>
      <c r="C21" s="4"/>
      <c r="D21" s="4"/>
      <c r="E21" s="4"/>
      <c r="F21" s="4"/>
      <c r="G21" s="4"/>
      <c r="H21" s="4"/>
      <c r="I21" s="4"/>
    </row>
    <row r="22" spans="1:9" x14ac:dyDescent="0.25">
      <c r="A22" s="2" t="s">
        <v>3</v>
      </c>
      <c r="B22" s="4"/>
      <c r="C22" s="4"/>
      <c r="D22" s="4"/>
      <c r="E22" s="4"/>
      <c r="F22" s="4"/>
      <c r="G22" s="4"/>
      <c r="H22" s="4"/>
      <c r="I22" s="4"/>
    </row>
    <row r="23" spans="1:9" x14ac:dyDescent="0.25">
      <c r="A23" s="2" t="s">
        <v>0</v>
      </c>
      <c r="B23" s="4"/>
      <c r="C23" s="4"/>
      <c r="D23" s="4"/>
      <c r="E23" s="4"/>
      <c r="F23" s="4"/>
      <c r="G23" s="4"/>
      <c r="H23" s="4"/>
      <c r="I23" s="4"/>
    </row>
    <row r="24" spans="1:9" x14ac:dyDescent="0.25">
      <c r="A24" s="2"/>
      <c r="B24" s="4"/>
      <c r="C24" s="4"/>
      <c r="D24" s="4"/>
      <c r="E24" s="4"/>
      <c r="F24" s="4"/>
      <c r="G24" s="4"/>
      <c r="H24" s="4"/>
      <c r="I24" s="4"/>
    </row>
    <row r="25" spans="1:9" x14ac:dyDescent="0.25">
      <c r="A25" s="2"/>
      <c r="B25" s="4"/>
      <c r="C25" s="4"/>
      <c r="D25" s="4"/>
      <c r="E25" s="4"/>
      <c r="F25" s="4"/>
      <c r="G25" s="4"/>
      <c r="H25" s="4"/>
      <c r="I25" s="4"/>
    </row>
    <row r="26" spans="1:9" x14ac:dyDescent="0.25">
      <c r="A26" s="2" t="s">
        <v>4</v>
      </c>
      <c r="B26" s="4"/>
      <c r="C26" s="4"/>
      <c r="D26" s="4"/>
      <c r="E26" s="4"/>
      <c r="F26" s="4"/>
      <c r="G26" s="4"/>
      <c r="H26" s="4"/>
      <c r="I26" s="4"/>
    </row>
    <row r="27" spans="1:9" x14ac:dyDescent="0.25">
      <c r="A27" s="2" t="s">
        <v>13</v>
      </c>
      <c r="B27" s="4"/>
      <c r="C27" s="4"/>
      <c r="D27" s="4"/>
      <c r="E27" s="4"/>
      <c r="F27" s="4"/>
      <c r="G27" s="4"/>
      <c r="H27" s="4"/>
      <c r="I27" s="4"/>
    </row>
    <row r="28" spans="1:9" x14ac:dyDescent="0.25">
      <c r="A28" s="2" t="s">
        <v>4</v>
      </c>
      <c r="B28" s="4"/>
      <c r="C28" s="4"/>
      <c r="D28" s="4"/>
      <c r="E28" s="4"/>
      <c r="F28" s="4"/>
      <c r="G28" s="4"/>
      <c r="H28" s="4"/>
      <c r="I28" s="4"/>
    </row>
    <row r="29" spans="1:9" x14ac:dyDescent="0.25">
      <c r="A29" s="2"/>
      <c r="B29" s="4" t="s">
        <v>10</v>
      </c>
      <c r="C29" s="4"/>
      <c r="D29" s="4"/>
      <c r="E29" s="4"/>
      <c r="F29" s="4"/>
      <c r="G29" s="4"/>
      <c r="H29" s="4"/>
      <c r="I29" s="4"/>
    </row>
    <row r="30" spans="1:9" x14ac:dyDescent="0.25">
      <c r="A30" s="2" t="s">
        <v>190</v>
      </c>
      <c r="B30" s="4" t="s">
        <v>10</v>
      </c>
      <c r="C30" s="4"/>
      <c r="D30" s="4"/>
      <c r="E30" s="4"/>
      <c r="F30" s="4"/>
      <c r="G30" s="4"/>
      <c r="H30" s="4"/>
      <c r="I30" s="4"/>
    </row>
    <row r="31" spans="1:9" x14ac:dyDescent="0.25">
      <c r="A31" s="2" t="s">
        <v>14</v>
      </c>
      <c r="B31" s="4">
        <v>12629117</v>
      </c>
      <c r="C31" s="5"/>
      <c r="D31" s="4"/>
      <c r="E31" s="4"/>
      <c r="F31" s="4"/>
      <c r="G31" s="4"/>
      <c r="H31" s="4"/>
      <c r="I31" s="4"/>
    </row>
    <row r="32" spans="1:9" x14ac:dyDescent="0.25">
      <c r="A32" s="2" t="s">
        <v>15</v>
      </c>
      <c r="B32" s="4">
        <v>9791839</v>
      </c>
      <c r="C32" s="5"/>
      <c r="D32" s="4"/>
      <c r="E32" s="4"/>
      <c r="F32" s="4"/>
      <c r="G32" s="4"/>
      <c r="H32" s="4"/>
      <c r="I32" s="4"/>
    </row>
    <row r="33" spans="1:9" x14ac:dyDescent="0.25">
      <c r="A33" s="2" t="s">
        <v>16</v>
      </c>
      <c r="B33" s="4">
        <v>357853</v>
      </c>
      <c r="C33" s="5"/>
      <c r="D33" s="4"/>
      <c r="E33" s="4"/>
      <c r="F33" s="4"/>
      <c r="G33" s="4"/>
      <c r="H33" s="4"/>
      <c r="I33" s="4"/>
    </row>
    <row r="34" spans="1:9" x14ac:dyDescent="0.25">
      <c r="A34" s="2"/>
      <c r="B34" s="4"/>
      <c r="C34" s="5"/>
      <c r="D34" s="4"/>
      <c r="E34" s="4"/>
      <c r="F34" s="4"/>
      <c r="G34" s="4"/>
      <c r="H34" s="4"/>
      <c r="I34" s="4"/>
    </row>
    <row r="35" spans="1:9" x14ac:dyDescent="0.25">
      <c r="A35" s="2"/>
      <c r="B35" s="4"/>
      <c r="C35" s="5"/>
      <c r="D35" s="4"/>
      <c r="E35" s="4"/>
      <c r="F35" s="4"/>
      <c r="G35" s="4"/>
      <c r="H35" s="4"/>
      <c r="I35" s="4"/>
    </row>
    <row r="36" spans="1:9" x14ac:dyDescent="0.25">
      <c r="A36" s="2" t="s">
        <v>4</v>
      </c>
      <c r="B36" s="4"/>
      <c r="C36" s="5"/>
      <c r="D36" s="4"/>
      <c r="E36" s="4"/>
      <c r="F36" s="4"/>
      <c r="G36" s="4"/>
      <c r="H36" s="4"/>
      <c r="I36" s="4"/>
    </row>
    <row r="37" spans="1:9" x14ac:dyDescent="0.25">
      <c r="A37" s="2" t="s">
        <v>136</v>
      </c>
      <c r="B37" s="4"/>
      <c r="C37" s="5"/>
      <c r="D37" s="4"/>
      <c r="E37" s="4"/>
      <c r="F37" s="4"/>
      <c r="G37" s="4"/>
      <c r="H37" s="4"/>
      <c r="I37" s="4"/>
    </row>
    <row r="38" spans="1:9" x14ac:dyDescent="0.25">
      <c r="A38" s="2" t="s">
        <v>4</v>
      </c>
      <c r="B38" s="4"/>
      <c r="C38" s="5"/>
      <c r="D38" s="4"/>
      <c r="E38" s="4"/>
      <c r="F38" s="4"/>
      <c r="G38" s="4"/>
      <c r="H38" s="4"/>
      <c r="I38" s="4"/>
    </row>
    <row r="39" spans="1:9" x14ac:dyDescent="0.25">
      <c r="A39" s="2"/>
      <c r="B39" s="4" t="s">
        <v>17</v>
      </c>
      <c r="C39" s="5"/>
      <c r="D39" s="4"/>
      <c r="E39" s="4"/>
      <c r="F39" s="4"/>
      <c r="G39" s="4"/>
      <c r="H39" s="4"/>
      <c r="I39" s="4"/>
    </row>
    <row r="40" spans="1:9" x14ac:dyDescent="0.25">
      <c r="A40" s="2" t="s">
        <v>191</v>
      </c>
      <c r="B40" s="4" t="s">
        <v>17</v>
      </c>
      <c r="C40" s="5" t="s">
        <v>192</v>
      </c>
      <c r="D40" s="4"/>
      <c r="E40" s="4"/>
      <c r="F40" s="4"/>
      <c r="G40" s="4"/>
      <c r="H40" s="4"/>
      <c r="I40" s="4"/>
    </row>
    <row r="41" spans="1:9" x14ac:dyDescent="0.25">
      <c r="A41" s="2" t="s">
        <v>18</v>
      </c>
      <c r="B41" s="4">
        <v>0.96094946401225101</v>
      </c>
      <c r="C41" s="5" t="s">
        <v>193</v>
      </c>
      <c r="D41" s="4"/>
      <c r="E41" s="4"/>
      <c r="F41" s="4"/>
      <c r="G41" s="4"/>
      <c r="H41" s="4"/>
      <c r="I41" s="4"/>
    </row>
    <row r="42" spans="1:9" x14ac:dyDescent="0.25">
      <c r="A42" s="2" t="s">
        <v>355</v>
      </c>
      <c r="B42" s="4">
        <v>0.94197384066587397</v>
      </c>
      <c r="C42" s="5" t="s">
        <v>368</v>
      </c>
      <c r="D42" s="4"/>
      <c r="E42" s="4"/>
      <c r="F42" s="4"/>
      <c r="G42" s="4"/>
      <c r="H42" s="4"/>
      <c r="I42" s="4"/>
    </row>
    <row r="43" spans="1:9" x14ac:dyDescent="0.25">
      <c r="A43" s="2" t="s">
        <v>133</v>
      </c>
      <c r="B43" s="4">
        <v>0.93650364766279304</v>
      </c>
      <c r="C43" s="5" t="s">
        <v>194</v>
      </c>
      <c r="D43" s="4"/>
      <c r="E43" s="4"/>
      <c r="F43" s="4"/>
      <c r="G43" s="4"/>
      <c r="H43" s="4"/>
      <c r="I43" s="4"/>
    </row>
    <row r="44" spans="1:9" x14ac:dyDescent="0.25">
      <c r="A44" s="2" t="s">
        <v>356</v>
      </c>
      <c r="B44" s="4">
        <v>0.93417499561634199</v>
      </c>
      <c r="C44" s="5" t="s">
        <v>369</v>
      </c>
      <c r="D44" s="4"/>
      <c r="E44" s="4"/>
      <c r="F44" s="4"/>
      <c r="G44" s="4"/>
      <c r="H44" s="4"/>
      <c r="I44" s="4"/>
    </row>
    <row r="45" spans="1:9" x14ac:dyDescent="0.25">
      <c r="A45" s="2" t="s">
        <v>383</v>
      </c>
      <c r="B45" s="4">
        <v>0.93121693121693105</v>
      </c>
      <c r="C45" s="5" t="s">
        <v>407</v>
      </c>
      <c r="D45" s="4"/>
      <c r="E45" s="4"/>
      <c r="F45" s="4"/>
      <c r="G45" s="4"/>
      <c r="H45" s="4"/>
      <c r="I45" s="4"/>
    </row>
    <row r="46" spans="1:9" x14ac:dyDescent="0.25">
      <c r="A46" s="2"/>
      <c r="B46" s="4"/>
      <c r="C46" s="4"/>
      <c r="D46" s="4"/>
      <c r="E46" s="4"/>
      <c r="F46" s="4"/>
      <c r="G46" s="4"/>
      <c r="H46" s="4"/>
      <c r="I46" s="4"/>
    </row>
    <row r="47" spans="1:9" x14ac:dyDescent="0.25">
      <c r="A47" s="2"/>
      <c r="B47" s="4"/>
      <c r="C47" s="4"/>
      <c r="D47" s="4"/>
      <c r="E47" s="4"/>
      <c r="F47" s="4"/>
      <c r="G47" s="4"/>
      <c r="H47" s="4"/>
      <c r="I47" s="4"/>
    </row>
    <row r="48" spans="1:9" x14ac:dyDescent="0.25">
      <c r="A48" s="2" t="s">
        <v>0</v>
      </c>
      <c r="B48" s="4"/>
      <c r="C48" s="4"/>
      <c r="D48" s="4"/>
      <c r="E48" s="4"/>
      <c r="F48" s="4"/>
      <c r="G48" s="4"/>
      <c r="H48" s="4"/>
      <c r="I48" s="4"/>
    </row>
    <row r="49" spans="1:9" x14ac:dyDescent="0.25">
      <c r="A49" s="2" t="s">
        <v>137</v>
      </c>
      <c r="B49" s="4"/>
      <c r="C49" s="4"/>
      <c r="D49" s="4"/>
      <c r="E49" s="4"/>
      <c r="F49" s="4"/>
      <c r="G49" s="4"/>
      <c r="H49" s="4"/>
      <c r="I49" s="4"/>
    </row>
    <row r="50" spans="1:9" x14ac:dyDescent="0.25">
      <c r="A50" s="2" t="s">
        <v>2</v>
      </c>
      <c r="B50" s="4"/>
      <c r="C50" s="4"/>
      <c r="D50" s="4"/>
      <c r="E50" s="4"/>
      <c r="F50" s="4"/>
      <c r="G50" s="4"/>
      <c r="H50" s="4"/>
      <c r="I50" s="4"/>
    </row>
    <row r="51" spans="1:9" x14ac:dyDescent="0.25">
      <c r="A51" s="2" t="s">
        <v>381</v>
      </c>
      <c r="B51" s="4"/>
      <c r="C51" s="4"/>
      <c r="D51" s="4"/>
      <c r="E51" s="4"/>
      <c r="F51" s="4"/>
      <c r="G51" s="4"/>
      <c r="H51" s="4"/>
      <c r="I51" s="4"/>
    </row>
    <row r="52" spans="1:9" x14ac:dyDescent="0.25">
      <c r="A52" s="2" t="s">
        <v>3</v>
      </c>
      <c r="B52" s="4"/>
      <c r="C52" s="4"/>
      <c r="D52" s="4"/>
      <c r="E52" s="4"/>
      <c r="F52" s="4"/>
      <c r="G52" s="4"/>
      <c r="H52" s="4"/>
      <c r="I52" s="4"/>
    </row>
    <row r="53" spans="1:9" x14ac:dyDescent="0.25">
      <c r="A53" s="2" t="s">
        <v>0</v>
      </c>
      <c r="B53" s="4"/>
      <c r="C53" s="4"/>
      <c r="D53" s="4"/>
      <c r="E53" s="4"/>
      <c r="F53" s="4"/>
      <c r="G53" s="4"/>
      <c r="H53" s="4"/>
      <c r="I53" s="4"/>
    </row>
    <row r="54" spans="1:9" x14ac:dyDescent="0.25">
      <c r="A54" s="2"/>
      <c r="D54" s="4"/>
      <c r="E54" s="4"/>
      <c r="F54" s="4"/>
      <c r="G54" s="4"/>
      <c r="H54" s="4"/>
      <c r="I54" s="4"/>
    </row>
    <row r="55" spans="1:9" x14ac:dyDescent="0.25">
      <c r="A55" s="2"/>
      <c r="D55" s="4"/>
      <c r="E55" s="4"/>
      <c r="F55" s="4"/>
      <c r="G55" s="4"/>
      <c r="H55" s="4"/>
      <c r="I55" s="4"/>
    </row>
    <row r="56" spans="1:9" x14ac:dyDescent="0.25">
      <c r="A56" s="2" t="s">
        <v>4</v>
      </c>
      <c r="D56" s="4"/>
      <c r="E56" s="4"/>
      <c r="F56" s="4"/>
      <c r="G56" s="4"/>
      <c r="H56" s="4"/>
      <c r="I56" s="4"/>
    </row>
    <row r="57" spans="1:9" x14ac:dyDescent="0.25">
      <c r="A57" s="2" t="s">
        <v>19</v>
      </c>
      <c r="D57" s="4"/>
      <c r="E57" s="4"/>
      <c r="F57" s="4"/>
      <c r="G57" s="4"/>
      <c r="H57" s="4"/>
      <c r="I57" s="4"/>
    </row>
    <row r="58" spans="1:9" x14ac:dyDescent="0.25">
      <c r="A58" s="2" t="s">
        <v>4</v>
      </c>
      <c r="D58" s="4"/>
      <c r="E58" s="4"/>
      <c r="F58" s="4"/>
      <c r="G58" s="4"/>
      <c r="H58" s="4"/>
      <c r="I58" s="4"/>
    </row>
    <row r="59" spans="1:9" x14ac:dyDescent="0.25">
      <c r="A59" s="2"/>
      <c r="C59" t="s">
        <v>20</v>
      </c>
      <c r="D59" s="4"/>
      <c r="E59" s="4"/>
      <c r="F59" s="4"/>
      <c r="G59" s="4"/>
      <c r="H59" s="4"/>
      <c r="I59" s="4"/>
    </row>
    <row r="60" spans="1:9" x14ac:dyDescent="0.25">
      <c r="A60" s="2" t="s">
        <v>21</v>
      </c>
      <c r="C60" s="4" t="s">
        <v>20</v>
      </c>
      <c r="D60" s="4"/>
      <c r="E60" s="4"/>
      <c r="F60" s="4"/>
      <c r="G60" s="4"/>
      <c r="H60" s="4"/>
      <c r="I60" s="4"/>
    </row>
    <row r="61" spans="1:9" x14ac:dyDescent="0.25">
      <c r="A61" s="2" t="s">
        <v>22</v>
      </c>
      <c r="C61" s="4">
        <v>10968939</v>
      </c>
      <c r="D61" s="4"/>
      <c r="E61" s="4"/>
      <c r="F61" s="4"/>
      <c r="G61" s="4"/>
      <c r="H61" s="4"/>
      <c r="I61" s="4"/>
    </row>
    <row r="62" spans="1:9" x14ac:dyDescent="0.25">
      <c r="A62" s="2" t="s">
        <v>22</v>
      </c>
      <c r="B62" t="s">
        <v>23</v>
      </c>
      <c r="C62" s="4">
        <v>10968932</v>
      </c>
      <c r="D62" s="4"/>
      <c r="E62" s="4"/>
      <c r="F62" s="4"/>
      <c r="G62" s="4"/>
      <c r="H62" s="4"/>
      <c r="I62" s="4"/>
    </row>
    <row r="63" spans="1:9" x14ac:dyDescent="0.25">
      <c r="A63" s="2" t="s">
        <v>22</v>
      </c>
      <c r="B63" t="s">
        <v>24</v>
      </c>
      <c r="C63" s="4">
        <v>9343827</v>
      </c>
      <c r="D63" s="4"/>
      <c r="E63" s="4"/>
      <c r="F63" s="4"/>
      <c r="G63" s="4"/>
      <c r="H63" s="4"/>
      <c r="I63" s="4"/>
    </row>
    <row r="64" spans="1:9" x14ac:dyDescent="0.25">
      <c r="A64" s="2" t="s">
        <v>22</v>
      </c>
      <c r="B64" t="s">
        <v>26</v>
      </c>
      <c r="C64" s="4">
        <v>635463</v>
      </c>
      <c r="D64" s="4"/>
      <c r="E64" s="4"/>
      <c r="F64" s="4"/>
      <c r="G64" s="4"/>
      <c r="H64" s="4"/>
      <c r="I64" s="4"/>
    </row>
    <row r="65" spans="1:9" x14ac:dyDescent="0.25">
      <c r="A65" s="2" t="s">
        <v>22</v>
      </c>
      <c r="B65" t="s">
        <v>25</v>
      </c>
      <c r="C65" s="4">
        <v>499160</v>
      </c>
      <c r="D65" s="4"/>
      <c r="E65" s="4"/>
      <c r="F65" s="4"/>
      <c r="G65" s="4"/>
      <c r="H65" s="4"/>
      <c r="I65" s="4"/>
    </row>
    <row r="66" spans="1:9" x14ac:dyDescent="0.25">
      <c r="A66" s="2" t="s">
        <v>22</v>
      </c>
      <c r="B66" t="s">
        <v>27</v>
      </c>
      <c r="C66" s="4">
        <v>171738</v>
      </c>
      <c r="D66" s="4"/>
      <c r="E66" s="4"/>
      <c r="F66" s="4"/>
      <c r="G66" s="4"/>
      <c r="H66" s="4"/>
      <c r="I66" s="4"/>
    </row>
    <row r="67" spans="1:9" x14ac:dyDescent="0.25">
      <c r="A67" s="2" t="s">
        <v>22</v>
      </c>
      <c r="B67" t="s">
        <v>28</v>
      </c>
      <c r="C67" s="4">
        <v>68634</v>
      </c>
      <c r="D67" s="4"/>
      <c r="E67" s="4"/>
      <c r="F67" s="4"/>
      <c r="G67" s="4"/>
      <c r="H67" s="4"/>
      <c r="I67" s="4"/>
    </row>
    <row r="68" spans="1:9" x14ac:dyDescent="0.25">
      <c r="A68" s="2" t="s">
        <v>29</v>
      </c>
      <c r="C68" s="4">
        <v>6758541</v>
      </c>
      <c r="D68" s="4"/>
      <c r="E68" s="4"/>
      <c r="F68" s="4"/>
      <c r="G68" s="4"/>
      <c r="H68" s="4"/>
      <c r="I68" s="4"/>
    </row>
    <row r="69" spans="1:9" x14ac:dyDescent="0.25">
      <c r="A69" s="2" t="s">
        <v>30</v>
      </c>
      <c r="C69" s="4">
        <v>2016212</v>
      </c>
      <c r="D69" s="4"/>
      <c r="E69" s="4"/>
      <c r="F69" s="4"/>
      <c r="G69" s="4"/>
      <c r="H69" s="4"/>
      <c r="I69" s="4"/>
    </row>
    <row r="70" spans="1:9" x14ac:dyDescent="0.25">
      <c r="A70" s="2" t="s">
        <v>31</v>
      </c>
      <c r="C70" s="4">
        <v>573834</v>
      </c>
      <c r="D70" s="4"/>
      <c r="E70" s="4"/>
      <c r="F70" s="4"/>
      <c r="G70" s="4"/>
      <c r="H70" s="4"/>
      <c r="I70" s="4"/>
    </row>
    <row r="71" spans="1:9" x14ac:dyDescent="0.25">
      <c r="A71" s="2" t="s">
        <v>31</v>
      </c>
      <c r="B71" t="s">
        <v>23</v>
      </c>
      <c r="C71" s="4" t="s">
        <v>20</v>
      </c>
      <c r="D71" s="4"/>
      <c r="E71" s="4"/>
      <c r="F71" s="4"/>
      <c r="G71" s="4"/>
      <c r="H71" s="4"/>
      <c r="I71" s="4"/>
    </row>
    <row r="72" spans="1:9" x14ac:dyDescent="0.25">
      <c r="A72" s="2" t="s">
        <v>31</v>
      </c>
      <c r="B72" t="s">
        <v>32</v>
      </c>
      <c r="C72" s="4">
        <v>247260</v>
      </c>
      <c r="D72" s="4"/>
      <c r="E72" s="4"/>
      <c r="F72" s="4"/>
      <c r="G72" s="4"/>
      <c r="H72" s="4"/>
      <c r="I72" s="4"/>
    </row>
    <row r="73" spans="1:9" x14ac:dyDescent="0.25">
      <c r="A73" s="2" t="s">
        <v>31</v>
      </c>
      <c r="B73" t="s">
        <v>138</v>
      </c>
      <c r="C73" s="4">
        <v>93974</v>
      </c>
      <c r="D73" s="4"/>
      <c r="E73" s="4"/>
      <c r="F73" s="4"/>
      <c r="G73" s="4"/>
      <c r="H73" s="4"/>
      <c r="I73" s="4"/>
    </row>
    <row r="74" spans="1:9" x14ac:dyDescent="0.25">
      <c r="A74" s="2" t="s">
        <v>31</v>
      </c>
      <c r="B74" t="s">
        <v>384</v>
      </c>
      <c r="C74" s="4">
        <v>62856</v>
      </c>
      <c r="D74" s="4"/>
      <c r="E74" s="4"/>
      <c r="F74" s="4"/>
      <c r="G74" s="4"/>
      <c r="H74" s="4"/>
      <c r="I74" s="4"/>
    </row>
    <row r="75" spans="1:9" x14ac:dyDescent="0.25">
      <c r="A75" s="2" t="s">
        <v>31</v>
      </c>
      <c r="B75" t="s">
        <v>33</v>
      </c>
      <c r="C75" s="4">
        <v>58437</v>
      </c>
      <c r="D75" s="4"/>
      <c r="E75" s="4"/>
      <c r="F75" s="4"/>
      <c r="G75" s="4"/>
      <c r="H75" s="4"/>
      <c r="I75" s="4"/>
    </row>
    <row r="76" spans="1:9" x14ac:dyDescent="0.25">
      <c r="A76" s="2" t="s">
        <v>31</v>
      </c>
      <c r="B76" t="s">
        <v>34</v>
      </c>
      <c r="C76" s="4">
        <v>40281</v>
      </c>
      <c r="D76" s="4"/>
      <c r="E76" s="4"/>
      <c r="F76" s="4"/>
      <c r="G76" s="4"/>
      <c r="H76" s="4"/>
      <c r="I76" s="4"/>
    </row>
    <row r="77" spans="1:9" x14ac:dyDescent="0.25">
      <c r="A77" s="2" t="s">
        <v>35</v>
      </c>
      <c r="C77" s="4">
        <v>10</v>
      </c>
      <c r="D77" s="4"/>
      <c r="E77" s="4"/>
      <c r="F77" s="4"/>
      <c r="G77" s="4"/>
      <c r="H77" s="4"/>
      <c r="I77" s="4"/>
    </row>
    <row r="78" spans="1:9" x14ac:dyDescent="0.25">
      <c r="A78" s="2"/>
      <c r="D78" s="4"/>
      <c r="E78" s="4"/>
      <c r="F78" s="4"/>
      <c r="G78" s="4"/>
      <c r="H78" s="4"/>
      <c r="I78" s="4"/>
    </row>
    <row r="79" spans="1:9" x14ac:dyDescent="0.25">
      <c r="A79" s="2"/>
      <c r="D79" s="4"/>
      <c r="E79" s="4"/>
      <c r="F79" s="4"/>
      <c r="G79" s="4"/>
      <c r="H79" s="4"/>
      <c r="I79" s="4"/>
    </row>
    <row r="80" spans="1:9" x14ac:dyDescent="0.25">
      <c r="A80" s="2" t="s">
        <v>0</v>
      </c>
      <c r="D80" s="4"/>
      <c r="E80" s="4"/>
      <c r="F80" s="4"/>
      <c r="G80" s="4"/>
      <c r="H80" s="4"/>
      <c r="I80" s="4"/>
    </row>
    <row r="81" spans="1:9" x14ac:dyDescent="0.25">
      <c r="A81" s="2" t="s">
        <v>139</v>
      </c>
      <c r="D81" s="4"/>
      <c r="E81" s="4"/>
      <c r="F81" s="4"/>
      <c r="G81" s="4"/>
      <c r="H81" s="4"/>
      <c r="I81" s="4"/>
    </row>
    <row r="82" spans="1:9" x14ac:dyDescent="0.25">
      <c r="A82" s="2" t="s">
        <v>2</v>
      </c>
      <c r="D82" s="4"/>
      <c r="E82" s="4"/>
      <c r="F82" s="4"/>
      <c r="G82" s="4"/>
      <c r="H82" s="4"/>
      <c r="I82" s="4"/>
    </row>
    <row r="83" spans="1:9" x14ac:dyDescent="0.25">
      <c r="A83" s="2" t="s">
        <v>381</v>
      </c>
      <c r="D83" s="4"/>
      <c r="E83" s="4"/>
      <c r="F83" s="4"/>
      <c r="G83" s="4"/>
      <c r="H83" s="4"/>
      <c r="I83" s="4"/>
    </row>
    <row r="84" spans="1:9" x14ac:dyDescent="0.25">
      <c r="A84" s="2" t="s">
        <v>3</v>
      </c>
      <c r="D84" s="4"/>
      <c r="E84" s="4"/>
      <c r="F84" s="4"/>
      <c r="G84" s="4"/>
      <c r="H84" s="4"/>
      <c r="I84" s="4"/>
    </row>
    <row r="85" spans="1:9" x14ac:dyDescent="0.25">
      <c r="A85" s="2" t="s">
        <v>0</v>
      </c>
      <c r="D85" s="4"/>
      <c r="E85" s="4"/>
      <c r="F85" s="4"/>
      <c r="G85" s="4"/>
      <c r="H85" s="4"/>
      <c r="I85" s="4"/>
    </row>
    <row r="86" spans="1:9" x14ac:dyDescent="0.25">
      <c r="A86" s="2"/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/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 t="s">
        <v>4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 t="s">
        <v>36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 t="s">
        <v>4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/>
      <c r="B91" s="4" t="s">
        <v>10</v>
      </c>
      <c r="C91" s="4"/>
      <c r="D91" s="4"/>
      <c r="E91" s="4"/>
      <c r="F91" s="4"/>
      <c r="G91" s="4"/>
      <c r="H91" s="4"/>
      <c r="I91" s="4"/>
    </row>
    <row r="92" spans="1:9" x14ac:dyDescent="0.25">
      <c r="A92" s="2" t="s">
        <v>191</v>
      </c>
      <c r="B92" s="4" t="s">
        <v>10</v>
      </c>
      <c r="C92" s="4" t="s">
        <v>192</v>
      </c>
      <c r="D92" s="4"/>
      <c r="E92" s="4"/>
      <c r="F92" s="4"/>
      <c r="G92" s="4"/>
      <c r="H92" s="4"/>
      <c r="I92" s="4"/>
    </row>
    <row r="93" spans="1:9" x14ac:dyDescent="0.25">
      <c r="A93" s="2" t="s">
        <v>140</v>
      </c>
      <c r="B93">
        <v>3692143</v>
      </c>
      <c r="C93" t="s">
        <v>195</v>
      </c>
      <c r="D93" s="4"/>
      <c r="E93" s="4"/>
      <c r="F93" s="4"/>
      <c r="G93" s="4"/>
      <c r="H93" s="4"/>
      <c r="I93" s="4"/>
    </row>
    <row r="94" spans="1:9" x14ac:dyDescent="0.25">
      <c r="A94" s="2" t="s">
        <v>141</v>
      </c>
      <c r="B94">
        <v>1887686</v>
      </c>
      <c r="C94" t="s">
        <v>37</v>
      </c>
      <c r="D94" s="4"/>
      <c r="E94" s="4"/>
      <c r="F94" s="4"/>
      <c r="G94" s="4"/>
      <c r="H94" s="4"/>
      <c r="I94" s="4"/>
    </row>
    <row r="95" spans="1:9" x14ac:dyDescent="0.25">
      <c r="A95" s="2" t="s">
        <v>142</v>
      </c>
      <c r="B95">
        <v>1630301</v>
      </c>
      <c r="C95" t="s">
        <v>196</v>
      </c>
      <c r="D95" s="4"/>
      <c r="E95" s="4"/>
      <c r="F95" s="4"/>
      <c r="G95" s="4"/>
      <c r="H95" s="4"/>
      <c r="I95" s="4"/>
    </row>
    <row r="96" spans="1:9" x14ac:dyDescent="0.25">
      <c r="A96" s="2" t="s">
        <v>143</v>
      </c>
      <c r="B96">
        <v>1093413</v>
      </c>
      <c r="C96" t="s">
        <v>370</v>
      </c>
      <c r="D96" s="4"/>
      <c r="E96" s="4"/>
      <c r="F96" s="4"/>
      <c r="G96" s="4"/>
      <c r="H96" s="4"/>
      <c r="I96" s="4"/>
    </row>
    <row r="97" spans="1:9" x14ac:dyDescent="0.25">
      <c r="A97" s="2" t="s">
        <v>144</v>
      </c>
      <c r="B97">
        <v>968638</v>
      </c>
      <c r="C97" t="s">
        <v>376</v>
      </c>
      <c r="D97" s="4"/>
      <c r="E97" s="4"/>
      <c r="F97" s="4"/>
      <c r="G97" s="4"/>
      <c r="H97" s="4"/>
      <c r="I97" s="4"/>
    </row>
    <row r="98" spans="1:9" x14ac:dyDescent="0.25">
      <c r="A98" s="2" t="s">
        <v>145</v>
      </c>
      <c r="B98">
        <v>890821</v>
      </c>
      <c r="C98" t="s">
        <v>197</v>
      </c>
      <c r="D98" s="4"/>
      <c r="E98" s="4"/>
      <c r="F98" s="4"/>
      <c r="G98" s="4"/>
      <c r="H98" s="4"/>
      <c r="I98" s="4"/>
    </row>
    <row r="99" spans="1:9" x14ac:dyDescent="0.25">
      <c r="A99" s="2" t="s">
        <v>357</v>
      </c>
      <c r="B99">
        <v>773974</v>
      </c>
      <c r="C99" t="s">
        <v>371</v>
      </c>
      <c r="D99" s="4"/>
      <c r="E99" s="4"/>
      <c r="F99" s="4"/>
      <c r="G99" s="4"/>
      <c r="H99" s="4"/>
      <c r="I99" s="4"/>
    </row>
    <row r="100" spans="1:9" x14ac:dyDescent="0.25">
      <c r="A100" s="2" t="s">
        <v>146</v>
      </c>
      <c r="B100">
        <v>752478</v>
      </c>
      <c r="C100" t="s">
        <v>198</v>
      </c>
      <c r="D100" s="4"/>
      <c r="E100" s="4"/>
      <c r="F100" s="4"/>
      <c r="G100" s="4"/>
      <c r="H100" s="4"/>
      <c r="I100" s="4"/>
    </row>
    <row r="101" spans="1:9" x14ac:dyDescent="0.25">
      <c r="A101" s="2" t="s">
        <v>358</v>
      </c>
      <c r="B101">
        <v>732121</v>
      </c>
      <c r="C101" t="s">
        <v>372</v>
      </c>
      <c r="D101" s="4"/>
      <c r="E101" s="4"/>
      <c r="F101" s="4"/>
      <c r="G101" s="4"/>
      <c r="H101" s="4"/>
      <c r="I101" s="4"/>
    </row>
    <row r="102" spans="1:9" x14ac:dyDescent="0.25">
      <c r="A102" s="2" t="s">
        <v>147</v>
      </c>
      <c r="B102">
        <v>594902</v>
      </c>
      <c r="C102" t="s">
        <v>38</v>
      </c>
      <c r="D102" s="4"/>
      <c r="E102" s="4"/>
      <c r="F102" s="4"/>
      <c r="G102" s="4"/>
      <c r="H102" s="4"/>
      <c r="I102" s="4"/>
    </row>
    <row r="103" spans="1:9" x14ac:dyDescent="0.25">
      <c r="A103" s="2"/>
      <c r="D103" s="4"/>
      <c r="E103" s="4"/>
      <c r="F103" s="4"/>
      <c r="G103" s="4"/>
      <c r="H103" s="4"/>
      <c r="I103" s="4"/>
    </row>
    <row r="104" spans="1:9" x14ac:dyDescent="0.25">
      <c r="A104" s="2"/>
      <c r="D104" s="4"/>
      <c r="E104" s="4"/>
      <c r="F104" s="4"/>
      <c r="G104" s="4"/>
      <c r="H104" s="4"/>
      <c r="I104" s="4"/>
    </row>
    <row r="105" spans="1:9" x14ac:dyDescent="0.25">
      <c r="A105" s="2" t="s">
        <v>4</v>
      </c>
      <c r="D105" s="4"/>
      <c r="E105" s="4"/>
      <c r="F105" s="4"/>
      <c r="G105" s="4"/>
      <c r="H105" s="4"/>
      <c r="I105" s="4"/>
    </row>
    <row r="106" spans="1:9" x14ac:dyDescent="0.25">
      <c r="A106" s="2" t="s">
        <v>40</v>
      </c>
      <c r="D106" s="4"/>
      <c r="E106" s="4"/>
      <c r="F106" s="4"/>
      <c r="G106" s="4"/>
      <c r="H106" s="4"/>
      <c r="I106" s="4"/>
    </row>
    <row r="107" spans="1:9" x14ac:dyDescent="0.25">
      <c r="A107" s="2" t="s">
        <v>4</v>
      </c>
      <c r="D107" s="4"/>
      <c r="E107" s="4"/>
      <c r="F107" s="4"/>
      <c r="G107" s="4"/>
      <c r="H107" s="4"/>
      <c r="I107" s="4"/>
    </row>
    <row r="108" spans="1:9" x14ac:dyDescent="0.25">
      <c r="A108" s="2"/>
      <c r="C108" t="s">
        <v>41</v>
      </c>
      <c r="D108" s="4"/>
      <c r="E108" s="4"/>
      <c r="F108" s="4"/>
      <c r="G108" s="4"/>
      <c r="H108" s="4"/>
      <c r="I108" s="4"/>
    </row>
    <row r="109" spans="1:9" x14ac:dyDescent="0.25">
      <c r="A109" s="2" t="s">
        <v>42</v>
      </c>
      <c r="C109">
        <v>3190360</v>
      </c>
      <c r="D109" s="4"/>
      <c r="E109" s="4"/>
      <c r="F109" s="4"/>
      <c r="G109" s="4"/>
      <c r="H109" s="4"/>
      <c r="I109" s="4"/>
    </row>
    <row r="110" spans="1:9" x14ac:dyDescent="0.25">
      <c r="A110" s="2" t="s">
        <v>37</v>
      </c>
      <c r="C110">
        <v>3190360</v>
      </c>
      <c r="D110" s="4"/>
      <c r="E110" s="4"/>
      <c r="F110" s="4"/>
      <c r="G110" s="4"/>
      <c r="H110" s="4"/>
      <c r="I110" s="4"/>
    </row>
    <row r="111" spans="1:9" x14ac:dyDescent="0.25">
      <c r="A111" s="2" t="s">
        <v>37</v>
      </c>
      <c r="B111" s="5" t="s">
        <v>321</v>
      </c>
      <c r="C111" s="4" t="s">
        <v>322</v>
      </c>
      <c r="D111" s="4" t="s">
        <v>191</v>
      </c>
      <c r="E111" s="4"/>
      <c r="F111" s="4"/>
      <c r="G111" s="4"/>
      <c r="H111" s="4"/>
      <c r="I111" s="4"/>
    </row>
    <row r="112" spans="1:9" x14ac:dyDescent="0.25">
      <c r="A112" s="2" t="s">
        <v>37</v>
      </c>
      <c r="B112" s="5" t="s">
        <v>38</v>
      </c>
      <c r="C112" s="4">
        <v>306200</v>
      </c>
      <c r="D112" s="4" t="s">
        <v>147</v>
      </c>
      <c r="E112" s="4"/>
      <c r="F112" s="4"/>
      <c r="G112" s="4"/>
      <c r="H112" s="4"/>
      <c r="I112" s="4"/>
    </row>
    <row r="113" spans="1:9" x14ac:dyDescent="0.25">
      <c r="A113" s="2" t="s">
        <v>37</v>
      </c>
      <c r="B113" s="5" t="s">
        <v>44</v>
      </c>
      <c r="C113" s="4">
        <v>121062</v>
      </c>
      <c r="D113" s="4" t="s">
        <v>200</v>
      </c>
      <c r="E113" s="4"/>
      <c r="F113" s="4"/>
      <c r="G113" s="4"/>
      <c r="H113" s="4"/>
      <c r="I113" s="4"/>
    </row>
    <row r="114" spans="1:9" x14ac:dyDescent="0.25">
      <c r="A114" s="2" t="s">
        <v>37</v>
      </c>
      <c r="B114" s="5" t="s">
        <v>43</v>
      </c>
      <c r="C114" s="4">
        <v>88159</v>
      </c>
      <c r="D114" s="4" t="s">
        <v>199</v>
      </c>
      <c r="E114" s="4"/>
      <c r="F114" s="4"/>
      <c r="G114" s="4"/>
      <c r="H114" s="4"/>
      <c r="I114" s="4"/>
    </row>
    <row r="115" spans="1:9" x14ac:dyDescent="0.25">
      <c r="A115" s="2" t="s">
        <v>37</v>
      </c>
      <c r="B115" s="5" t="s">
        <v>45</v>
      </c>
      <c r="C115" s="4">
        <v>83912</v>
      </c>
      <c r="D115" s="4" t="s">
        <v>201</v>
      </c>
      <c r="E115" s="4"/>
      <c r="F115" s="4"/>
      <c r="G115" s="4"/>
      <c r="H115" s="4"/>
      <c r="I115" s="4"/>
    </row>
    <row r="116" spans="1:9" x14ac:dyDescent="0.25">
      <c r="A116" s="2" t="s">
        <v>37</v>
      </c>
      <c r="B116" s="5" t="s">
        <v>46</v>
      </c>
      <c r="C116" s="4">
        <v>42309</v>
      </c>
      <c r="D116" s="4" t="s">
        <v>202</v>
      </c>
      <c r="E116" s="4"/>
      <c r="F116" s="4"/>
      <c r="G116" s="4"/>
      <c r="H116" s="4"/>
      <c r="I116" s="4"/>
    </row>
    <row r="117" spans="1:9" x14ac:dyDescent="0.25">
      <c r="A117" s="2" t="s">
        <v>37</v>
      </c>
      <c r="B117" s="5" t="s">
        <v>148</v>
      </c>
      <c r="C117" s="4">
        <v>37051</v>
      </c>
      <c r="D117" s="4" t="s">
        <v>203</v>
      </c>
      <c r="E117" s="4"/>
      <c r="F117" s="4"/>
      <c r="G117" s="4"/>
      <c r="H117" s="4"/>
      <c r="I117" s="4"/>
    </row>
    <row r="118" spans="1:9" x14ac:dyDescent="0.25">
      <c r="A118" s="2" t="s">
        <v>37</v>
      </c>
      <c r="B118" s="5" t="s">
        <v>150</v>
      </c>
      <c r="C118" s="4">
        <v>9466</v>
      </c>
      <c r="D118" s="4" t="s">
        <v>205</v>
      </c>
      <c r="E118" s="4"/>
      <c r="F118" s="4"/>
      <c r="G118" s="4"/>
      <c r="H118" s="4"/>
      <c r="I118" s="4"/>
    </row>
    <row r="119" spans="1:9" x14ac:dyDescent="0.25">
      <c r="A119" s="2" t="s">
        <v>37</v>
      </c>
      <c r="B119" s="5" t="s">
        <v>151</v>
      </c>
      <c r="C119" s="4">
        <v>5596</v>
      </c>
      <c r="D119" s="4" t="s">
        <v>206</v>
      </c>
      <c r="E119" s="4"/>
      <c r="F119" s="4"/>
      <c r="G119" s="4"/>
      <c r="H119" s="4"/>
      <c r="I119" s="4"/>
    </row>
    <row r="120" spans="1:9" x14ac:dyDescent="0.25">
      <c r="A120" s="2" t="s">
        <v>37</v>
      </c>
      <c r="B120" s="5" t="s">
        <v>152</v>
      </c>
      <c r="C120" s="4">
        <v>1722</v>
      </c>
      <c r="D120" s="4" t="s">
        <v>207</v>
      </c>
      <c r="E120" s="4"/>
      <c r="F120" s="4"/>
      <c r="G120" s="4"/>
      <c r="H120" s="4"/>
      <c r="I120" s="4"/>
    </row>
    <row r="121" spans="1:9" x14ac:dyDescent="0.25">
      <c r="A121" s="2" t="s">
        <v>37</v>
      </c>
      <c r="B121" s="5" t="s">
        <v>359</v>
      </c>
      <c r="C121" s="4">
        <v>29</v>
      </c>
      <c r="D121" s="4" t="s">
        <v>375</v>
      </c>
      <c r="E121" s="4"/>
      <c r="F121" s="4"/>
      <c r="G121" s="4"/>
      <c r="H121" s="4"/>
      <c r="I121" s="4"/>
    </row>
    <row r="122" spans="1:9" x14ac:dyDescent="0.25">
      <c r="A122" s="2"/>
      <c r="B122" s="5"/>
      <c r="C122" s="4"/>
      <c r="D122" s="4"/>
      <c r="E122" s="4"/>
      <c r="F122" s="4"/>
      <c r="G122" s="4"/>
      <c r="H122" s="4"/>
      <c r="I122" s="4"/>
    </row>
    <row r="123" spans="1:9" x14ac:dyDescent="0.25">
      <c r="A123" s="2"/>
      <c r="B123" s="5"/>
      <c r="C123" s="4"/>
      <c r="D123" s="4"/>
      <c r="E123" s="4"/>
      <c r="F123" s="4"/>
      <c r="G123" s="4"/>
      <c r="H123" s="4"/>
      <c r="I123" s="4"/>
    </row>
    <row r="124" spans="1:9" x14ac:dyDescent="0.25">
      <c r="A124" s="2" t="s">
        <v>4</v>
      </c>
      <c r="B124" s="5"/>
      <c r="C124" s="4"/>
      <c r="D124" s="4"/>
      <c r="E124" s="4"/>
      <c r="F124" s="4"/>
      <c r="G124" s="4"/>
      <c r="H124" s="4"/>
      <c r="I124" s="4"/>
    </row>
    <row r="125" spans="1:9" x14ac:dyDescent="0.25">
      <c r="A125" s="2" t="s">
        <v>47</v>
      </c>
      <c r="B125" s="5"/>
      <c r="C125" s="4"/>
      <c r="D125" s="4"/>
      <c r="E125" s="4"/>
      <c r="F125" s="4"/>
      <c r="G125" s="4"/>
      <c r="H125" s="4"/>
      <c r="I125" s="4"/>
    </row>
    <row r="126" spans="1:9" x14ac:dyDescent="0.25">
      <c r="A126" s="2" t="s">
        <v>4</v>
      </c>
      <c r="B126" s="5"/>
      <c r="C126" s="4"/>
      <c r="D126" s="4"/>
      <c r="E126" s="4"/>
      <c r="F126" s="4"/>
      <c r="G126" s="4"/>
      <c r="H126" s="4"/>
      <c r="I126" s="4"/>
    </row>
    <row r="127" spans="1:9" x14ac:dyDescent="0.25">
      <c r="A127" s="2"/>
      <c r="B127" s="5"/>
      <c r="C127" s="4" t="s">
        <v>41</v>
      </c>
      <c r="D127" s="4"/>
      <c r="E127" s="4"/>
      <c r="F127" s="4"/>
      <c r="G127" s="4"/>
      <c r="H127" s="4"/>
      <c r="I127" s="4"/>
    </row>
    <row r="128" spans="1:9" x14ac:dyDescent="0.25">
      <c r="A128" s="2" t="s">
        <v>42</v>
      </c>
      <c r="B128" s="5"/>
      <c r="C128" s="4">
        <v>498725</v>
      </c>
      <c r="D128" s="4"/>
      <c r="E128" s="4"/>
      <c r="F128" s="4"/>
      <c r="G128" s="4"/>
      <c r="H128" s="4"/>
      <c r="I128" s="4"/>
    </row>
    <row r="129" spans="1:9" x14ac:dyDescent="0.25">
      <c r="A129" s="2" t="s">
        <v>48</v>
      </c>
      <c r="B129" s="5"/>
      <c r="C129" s="4">
        <v>498725</v>
      </c>
      <c r="D129" s="4"/>
      <c r="E129" s="4"/>
      <c r="F129" s="4"/>
      <c r="G129" s="4"/>
      <c r="H129" s="4"/>
      <c r="I129" s="4"/>
    </row>
    <row r="130" spans="1:9" x14ac:dyDescent="0.25">
      <c r="A130" s="2" t="s">
        <v>48</v>
      </c>
      <c r="B130" s="5" t="s">
        <v>321</v>
      </c>
      <c r="C130" s="4" t="s">
        <v>322</v>
      </c>
      <c r="D130" s="4" t="s">
        <v>191</v>
      </c>
      <c r="E130" s="4"/>
      <c r="F130" s="4"/>
      <c r="G130" s="4"/>
      <c r="H130" s="4"/>
      <c r="I130" s="4"/>
    </row>
    <row r="131" spans="1:9" x14ac:dyDescent="0.25">
      <c r="A131" s="2" t="s">
        <v>48</v>
      </c>
      <c r="B131" s="5" t="s">
        <v>49</v>
      </c>
      <c r="C131" s="4">
        <v>157257</v>
      </c>
      <c r="D131" s="4" t="s">
        <v>208</v>
      </c>
      <c r="E131" s="4"/>
      <c r="F131" s="4"/>
      <c r="G131" s="4"/>
      <c r="H131" s="4"/>
      <c r="I131" s="4"/>
    </row>
    <row r="132" spans="1:9" x14ac:dyDescent="0.25">
      <c r="A132" s="2" t="s">
        <v>48</v>
      </c>
      <c r="B132" s="5" t="s">
        <v>50</v>
      </c>
      <c r="C132" s="4">
        <v>26045</v>
      </c>
      <c r="D132" s="4" t="s">
        <v>209</v>
      </c>
      <c r="E132" s="4"/>
      <c r="F132" s="4"/>
      <c r="G132" s="4"/>
      <c r="H132" s="4"/>
      <c r="I132" s="4"/>
    </row>
    <row r="133" spans="1:9" x14ac:dyDescent="0.25">
      <c r="A133" s="2" t="s">
        <v>48</v>
      </c>
      <c r="B133" s="5" t="s">
        <v>51</v>
      </c>
      <c r="C133" s="4">
        <v>19575</v>
      </c>
      <c r="D133" s="4" t="s">
        <v>210</v>
      </c>
      <c r="E133" s="4"/>
      <c r="F133" s="4"/>
      <c r="G133" s="4"/>
      <c r="H133" s="4"/>
      <c r="I133" s="4"/>
    </row>
    <row r="134" spans="1:9" x14ac:dyDescent="0.25">
      <c r="A134" s="2" t="s">
        <v>48</v>
      </c>
      <c r="B134" s="5" t="s">
        <v>52</v>
      </c>
      <c r="C134" s="4">
        <v>13563</v>
      </c>
      <c r="D134" s="4" t="s">
        <v>211</v>
      </c>
      <c r="E134" s="4"/>
      <c r="F134" s="4"/>
      <c r="G134" s="4"/>
      <c r="H134" s="4"/>
      <c r="I134" s="4"/>
    </row>
    <row r="135" spans="1:9" x14ac:dyDescent="0.25">
      <c r="A135" s="2" t="s">
        <v>48</v>
      </c>
      <c r="B135" s="5" t="s">
        <v>118</v>
      </c>
      <c r="C135" s="4">
        <v>7176</v>
      </c>
      <c r="D135" s="4" t="s">
        <v>212</v>
      </c>
      <c r="E135" s="4"/>
      <c r="F135" s="4"/>
      <c r="G135" s="4"/>
      <c r="H135" s="4"/>
      <c r="I135" s="4"/>
    </row>
    <row r="136" spans="1:9" x14ac:dyDescent="0.25">
      <c r="A136" s="2" t="s">
        <v>48</v>
      </c>
      <c r="B136" s="5" t="s">
        <v>153</v>
      </c>
      <c r="C136" s="4">
        <v>3106</v>
      </c>
      <c r="D136" s="4" t="s">
        <v>213</v>
      </c>
      <c r="E136" s="4"/>
      <c r="F136" s="4"/>
      <c r="G136" s="4"/>
      <c r="H136" s="4"/>
      <c r="I136" s="4"/>
    </row>
    <row r="137" spans="1:9" x14ac:dyDescent="0.25">
      <c r="A137" s="2" t="s">
        <v>48</v>
      </c>
      <c r="B137" s="5" t="s">
        <v>154</v>
      </c>
      <c r="C137" s="4">
        <v>2993</v>
      </c>
      <c r="D137" s="4" t="s">
        <v>214</v>
      </c>
      <c r="E137" s="4"/>
      <c r="F137" s="4"/>
      <c r="G137" s="4"/>
      <c r="H137" s="4"/>
      <c r="I137" s="4"/>
    </row>
    <row r="138" spans="1:9" x14ac:dyDescent="0.25">
      <c r="A138" s="2"/>
      <c r="B138" s="5"/>
      <c r="C138" s="4"/>
      <c r="D138" s="4"/>
      <c r="E138" s="4"/>
      <c r="F138" s="4"/>
      <c r="G138" s="4"/>
      <c r="H138" s="4"/>
      <c r="I138" s="4"/>
    </row>
    <row r="139" spans="1:9" x14ac:dyDescent="0.25">
      <c r="A139" s="2"/>
      <c r="B139" s="5"/>
      <c r="C139" s="4"/>
      <c r="D139" s="4"/>
      <c r="E139" s="4"/>
      <c r="F139" s="4"/>
      <c r="G139" s="4"/>
      <c r="H139" s="4"/>
      <c r="I139" s="4"/>
    </row>
    <row r="140" spans="1:9" x14ac:dyDescent="0.25">
      <c r="A140" s="2" t="s">
        <v>4</v>
      </c>
      <c r="B140" s="5"/>
      <c r="C140" s="4"/>
      <c r="D140" s="4"/>
      <c r="E140" s="4"/>
      <c r="F140" s="4"/>
      <c r="G140" s="4"/>
      <c r="H140" s="4"/>
      <c r="I140" s="4"/>
    </row>
    <row r="141" spans="1:9" x14ac:dyDescent="0.25">
      <c r="A141" s="2" t="s">
        <v>54</v>
      </c>
      <c r="B141" s="5"/>
      <c r="C141" s="4"/>
      <c r="D141" s="4"/>
      <c r="E141" s="4"/>
      <c r="F141" s="4"/>
      <c r="G141" s="4"/>
      <c r="H141" s="4"/>
      <c r="I141" s="4"/>
    </row>
    <row r="142" spans="1:9" x14ac:dyDescent="0.25">
      <c r="A142" s="2" t="s">
        <v>4</v>
      </c>
      <c r="B142" s="5"/>
      <c r="C142" s="4"/>
      <c r="D142" s="4"/>
      <c r="E142" s="4"/>
      <c r="F142" s="4"/>
      <c r="G142" s="4"/>
      <c r="H142" s="4"/>
      <c r="I142" s="4"/>
    </row>
    <row r="143" spans="1:9" x14ac:dyDescent="0.25">
      <c r="A143" s="2"/>
      <c r="B143" s="5"/>
      <c r="C143" s="4" t="s">
        <v>41</v>
      </c>
      <c r="D143" s="4"/>
      <c r="E143" s="4"/>
      <c r="F143" s="4"/>
      <c r="G143" s="4"/>
      <c r="H143" s="4"/>
      <c r="I143" s="4"/>
    </row>
    <row r="144" spans="1:9" x14ac:dyDescent="0.25">
      <c r="A144" s="2" t="s">
        <v>42</v>
      </c>
      <c r="B144" s="5"/>
      <c r="C144" s="4">
        <v>167549</v>
      </c>
      <c r="D144" s="4"/>
      <c r="E144" s="4"/>
      <c r="F144" s="4"/>
      <c r="G144" s="4"/>
      <c r="H144" s="4"/>
      <c r="I144" s="4"/>
    </row>
    <row r="145" spans="1:9" x14ac:dyDescent="0.25">
      <c r="A145" s="2" t="s">
        <v>55</v>
      </c>
      <c r="B145" s="5"/>
      <c r="C145" s="4">
        <v>167549</v>
      </c>
      <c r="D145" s="4"/>
      <c r="E145" s="4"/>
      <c r="F145" s="4"/>
      <c r="G145" s="4"/>
      <c r="H145" s="4"/>
      <c r="I145" s="4"/>
    </row>
    <row r="146" spans="1:9" x14ac:dyDescent="0.25">
      <c r="A146" s="2" t="s">
        <v>55</v>
      </c>
      <c r="B146" s="5" t="s">
        <v>321</v>
      </c>
      <c r="C146" s="4" t="s">
        <v>322</v>
      </c>
      <c r="D146" s="4" t="s">
        <v>191</v>
      </c>
      <c r="E146" s="4"/>
      <c r="F146" s="4"/>
      <c r="G146" s="4"/>
      <c r="H146" s="4"/>
      <c r="I146" s="4"/>
    </row>
    <row r="147" spans="1:9" x14ac:dyDescent="0.25">
      <c r="A147" s="2" t="s">
        <v>55</v>
      </c>
      <c r="B147" s="5" t="s">
        <v>56</v>
      </c>
      <c r="C147" s="4">
        <v>21502</v>
      </c>
      <c r="D147" s="4" t="s">
        <v>226</v>
      </c>
      <c r="E147" s="4"/>
      <c r="F147" s="4"/>
      <c r="G147" s="4"/>
      <c r="H147" s="4"/>
      <c r="I147" s="4"/>
    </row>
    <row r="148" spans="1:9" x14ac:dyDescent="0.25">
      <c r="A148" s="2" t="s">
        <v>55</v>
      </c>
      <c r="B148" s="5" t="s">
        <v>58</v>
      </c>
      <c r="C148" s="4">
        <v>9095</v>
      </c>
      <c r="D148" s="4" t="s">
        <v>218</v>
      </c>
      <c r="E148" s="4"/>
      <c r="F148" s="4"/>
      <c r="G148" s="4"/>
      <c r="H148" s="4"/>
      <c r="I148" s="4"/>
    </row>
    <row r="149" spans="1:9" x14ac:dyDescent="0.25">
      <c r="A149" s="2" t="s">
        <v>55</v>
      </c>
      <c r="B149" s="5" t="s">
        <v>57</v>
      </c>
      <c r="C149" s="4">
        <v>4632</v>
      </c>
      <c r="D149" s="4" t="s">
        <v>228</v>
      </c>
      <c r="E149" s="4"/>
      <c r="F149" s="4"/>
      <c r="G149" s="4"/>
      <c r="H149" s="4"/>
      <c r="I149" s="4"/>
    </row>
    <row r="150" spans="1:9" x14ac:dyDescent="0.25">
      <c r="A150" s="2" t="s">
        <v>55</v>
      </c>
      <c r="B150" s="5" t="s">
        <v>59</v>
      </c>
      <c r="C150" s="4">
        <v>3892</v>
      </c>
      <c r="D150" s="4" t="s">
        <v>227</v>
      </c>
      <c r="E150" s="4"/>
      <c r="F150" s="4"/>
      <c r="G150" s="4"/>
      <c r="H150" s="4"/>
      <c r="I150" s="4"/>
    </row>
    <row r="151" spans="1:9" x14ac:dyDescent="0.25">
      <c r="A151" s="2" t="s">
        <v>55</v>
      </c>
      <c r="B151" s="5" t="s">
        <v>60</v>
      </c>
      <c r="C151" s="4">
        <v>3173</v>
      </c>
      <c r="D151" s="4" t="s">
        <v>229</v>
      </c>
      <c r="E151" s="4"/>
      <c r="F151" s="4"/>
      <c r="G151" s="4"/>
      <c r="H151" s="4"/>
      <c r="I151" s="4"/>
    </row>
    <row r="152" spans="1:9" x14ac:dyDescent="0.25">
      <c r="A152" s="2" t="s">
        <v>55</v>
      </c>
      <c r="B152" s="5" t="s">
        <v>159</v>
      </c>
      <c r="C152" s="4">
        <v>1783</v>
      </c>
      <c r="D152" s="4" t="s">
        <v>234</v>
      </c>
      <c r="E152" s="4"/>
      <c r="F152" s="4"/>
      <c r="G152" s="4"/>
      <c r="H152" s="4"/>
      <c r="I152" s="4"/>
    </row>
    <row r="153" spans="1:9" x14ac:dyDescent="0.25">
      <c r="A153" s="2" t="s">
        <v>55</v>
      </c>
      <c r="B153" s="5" t="s">
        <v>156</v>
      </c>
      <c r="C153" s="4">
        <v>1702</v>
      </c>
      <c r="D153" s="4" t="s">
        <v>231</v>
      </c>
      <c r="E153" s="4"/>
      <c r="F153" s="4"/>
      <c r="G153" s="4"/>
      <c r="H153" s="4"/>
      <c r="I153" s="4"/>
    </row>
    <row r="154" spans="1:9" x14ac:dyDescent="0.25">
      <c r="A154" s="2" t="s">
        <v>55</v>
      </c>
      <c r="B154" s="5" t="s">
        <v>155</v>
      </c>
      <c r="C154" s="4">
        <v>1023</v>
      </c>
      <c r="D154" s="4" t="s">
        <v>230</v>
      </c>
      <c r="E154" s="4"/>
      <c r="F154" s="4"/>
      <c r="G154" s="4"/>
      <c r="H154" s="4"/>
      <c r="I154" s="4"/>
    </row>
    <row r="155" spans="1:9" x14ac:dyDescent="0.25">
      <c r="A155" s="2" t="s">
        <v>55</v>
      </c>
      <c r="B155" s="5" t="s">
        <v>157</v>
      </c>
      <c r="C155" s="4">
        <v>956</v>
      </c>
      <c r="D155" s="4" t="s">
        <v>232</v>
      </c>
      <c r="E155" s="4"/>
      <c r="F155" s="4"/>
      <c r="G155" s="4"/>
      <c r="H155" s="4"/>
      <c r="I155" s="4"/>
    </row>
    <row r="156" spans="1:9" x14ac:dyDescent="0.25">
      <c r="A156" s="2" t="s">
        <v>55</v>
      </c>
      <c r="B156" s="5" t="s">
        <v>158</v>
      </c>
      <c r="C156" s="4">
        <v>938</v>
      </c>
      <c r="D156" s="4" t="s">
        <v>233</v>
      </c>
      <c r="E156" s="4"/>
      <c r="F156" s="4"/>
      <c r="G156" s="4"/>
      <c r="H156" s="4"/>
      <c r="I156" s="4"/>
    </row>
    <row r="157" spans="1:9" x14ac:dyDescent="0.25">
      <c r="A157" s="2"/>
      <c r="B157" s="5"/>
      <c r="C157" s="4"/>
      <c r="D157" s="4"/>
      <c r="E157" s="4"/>
      <c r="F157" s="4"/>
      <c r="G157" s="4"/>
      <c r="H157" s="4"/>
      <c r="I157" s="4"/>
    </row>
    <row r="158" spans="1:9" x14ac:dyDescent="0.25">
      <c r="A158" s="2"/>
      <c r="B158" s="5"/>
      <c r="C158" s="4"/>
      <c r="D158" s="4"/>
      <c r="E158" s="4"/>
      <c r="F158" s="4"/>
      <c r="G158" s="4"/>
      <c r="H158" s="4"/>
      <c r="I158" s="4"/>
    </row>
    <row r="159" spans="1:9" x14ac:dyDescent="0.25">
      <c r="A159" s="2" t="s">
        <v>4</v>
      </c>
      <c r="B159" s="5"/>
      <c r="C159" s="4"/>
      <c r="D159" s="4"/>
      <c r="E159" s="4"/>
      <c r="F159" s="4"/>
      <c r="G159" s="4"/>
      <c r="H159" s="4"/>
      <c r="I159" s="4"/>
    </row>
    <row r="160" spans="1:9" x14ac:dyDescent="0.25">
      <c r="A160" s="2" t="s">
        <v>61</v>
      </c>
      <c r="B160" s="5"/>
      <c r="C160" s="4"/>
      <c r="D160" s="4"/>
      <c r="E160" s="4"/>
      <c r="F160" s="4"/>
      <c r="G160" s="4"/>
      <c r="H160" s="4"/>
      <c r="I160" s="4"/>
    </row>
    <row r="161" spans="1:4" x14ac:dyDescent="0.25">
      <c r="A161" s="2" t="s">
        <v>4</v>
      </c>
      <c r="B161" s="5"/>
      <c r="C161" s="4"/>
    </row>
    <row r="162" spans="1:4" x14ac:dyDescent="0.25">
      <c r="A162" s="2"/>
      <c r="B162" s="5"/>
      <c r="C162" s="4" t="s">
        <v>41</v>
      </c>
    </row>
    <row r="163" spans="1:4" x14ac:dyDescent="0.25">
      <c r="A163" s="2" t="s">
        <v>42</v>
      </c>
      <c r="B163" s="5"/>
      <c r="C163" s="4">
        <v>507024</v>
      </c>
    </row>
    <row r="164" spans="1:4" x14ac:dyDescent="0.25">
      <c r="A164" s="2" t="s">
        <v>62</v>
      </c>
      <c r="B164" s="5"/>
      <c r="C164" s="4">
        <v>507024</v>
      </c>
    </row>
    <row r="165" spans="1:4" x14ac:dyDescent="0.25">
      <c r="A165" s="2" t="s">
        <v>62</v>
      </c>
      <c r="B165" s="5" t="s">
        <v>321</v>
      </c>
      <c r="C165" s="4" t="s">
        <v>322</v>
      </c>
      <c r="D165" t="s">
        <v>191</v>
      </c>
    </row>
    <row r="166" spans="1:4" x14ac:dyDescent="0.25">
      <c r="A166" s="2" t="s">
        <v>62</v>
      </c>
      <c r="B166" s="5" t="s">
        <v>63</v>
      </c>
      <c r="C166" s="4">
        <v>115647</v>
      </c>
      <c r="D166" t="s">
        <v>215</v>
      </c>
    </row>
    <row r="167" spans="1:4" x14ac:dyDescent="0.25">
      <c r="A167" s="2" t="s">
        <v>62</v>
      </c>
      <c r="B167" s="5" t="s">
        <v>58</v>
      </c>
      <c r="C167" s="4">
        <v>49878</v>
      </c>
      <c r="D167" t="s">
        <v>218</v>
      </c>
    </row>
    <row r="168" spans="1:4" x14ac:dyDescent="0.25">
      <c r="A168" s="2" t="s">
        <v>62</v>
      </c>
      <c r="B168" s="5" t="s">
        <v>65</v>
      </c>
      <c r="C168" s="4">
        <v>34924</v>
      </c>
      <c r="D168" t="s">
        <v>217</v>
      </c>
    </row>
    <row r="169" spans="1:4" x14ac:dyDescent="0.25">
      <c r="A169" s="2" t="s">
        <v>62</v>
      </c>
      <c r="B169" s="5" t="s">
        <v>64</v>
      </c>
      <c r="C169" s="4">
        <v>31526</v>
      </c>
      <c r="D169" t="s">
        <v>216</v>
      </c>
    </row>
    <row r="170" spans="1:4" x14ac:dyDescent="0.25">
      <c r="A170" s="2" t="s">
        <v>62</v>
      </c>
      <c r="B170" s="5" t="s">
        <v>160</v>
      </c>
      <c r="C170" s="4">
        <v>15549</v>
      </c>
      <c r="D170" t="s">
        <v>205</v>
      </c>
    </row>
    <row r="171" spans="1:4" x14ac:dyDescent="0.25">
      <c r="A171" s="2" t="s">
        <v>62</v>
      </c>
      <c r="B171" s="5" t="s">
        <v>66</v>
      </c>
      <c r="C171" s="4">
        <v>15135</v>
      </c>
      <c r="D171" t="s">
        <v>221</v>
      </c>
    </row>
    <row r="172" spans="1:4" x14ac:dyDescent="0.25">
      <c r="A172" s="2" t="s">
        <v>62</v>
      </c>
      <c r="B172" s="5" t="s">
        <v>126</v>
      </c>
      <c r="C172" s="4">
        <v>11330</v>
      </c>
      <c r="D172" t="s">
        <v>223</v>
      </c>
    </row>
    <row r="173" spans="1:4" x14ac:dyDescent="0.25">
      <c r="A173" s="2" t="s">
        <v>62</v>
      </c>
      <c r="B173" s="5" t="s">
        <v>119</v>
      </c>
      <c r="C173" s="4">
        <v>9427</v>
      </c>
      <c r="D173" t="s">
        <v>222</v>
      </c>
    </row>
    <row r="174" spans="1:4" x14ac:dyDescent="0.25">
      <c r="A174" s="2" t="s">
        <v>62</v>
      </c>
      <c r="B174" s="5" t="s">
        <v>417</v>
      </c>
      <c r="C174" s="4">
        <v>7263</v>
      </c>
    </row>
    <row r="175" spans="1:4" x14ac:dyDescent="0.25">
      <c r="A175" s="2" t="s">
        <v>62</v>
      </c>
      <c r="B175" s="5" t="s">
        <v>161</v>
      </c>
      <c r="C175" s="4">
        <v>6787</v>
      </c>
    </row>
    <row r="176" spans="1:4" x14ac:dyDescent="0.25">
      <c r="A176" s="2"/>
      <c r="B176" s="5"/>
      <c r="C176" s="4"/>
    </row>
    <row r="177" spans="1:4" x14ac:dyDescent="0.25">
      <c r="A177" s="2"/>
      <c r="B177" s="5"/>
      <c r="C177" s="4"/>
    </row>
    <row r="178" spans="1:4" x14ac:dyDescent="0.25">
      <c r="A178" s="2" t="s">
        <v>4</v>
      </c>
      <c r="B178" s="5"/>
      <c r="C178" s="4"/>
    </row>
    <row r="179" spans="1:4" x14ac:dyDescent="0.25">
      <c r="A179" s="2" t="s">
        <v>162</v>
      </c>
      <c r="B179" s="5"/>
      <c r="C179" s="4"/>
    </row>
    <row r="180" spans="1:4" x14ac:dyDescent="0.25">
      <c r="A180" s="2" t="s">
        <v>4</v>
      </c>
      <c r="B180" s="5"/>
      <c r="C180" s="4"/>
    </row>
    <row r="181" spans="1:4" x14ac:dyDescent="0.25">
      <c r="A181" s="2"/>
      <c r="B181" s="5"/>
      <c r="C181" s="4" t="s">
        <v>41</v>
      </c>
    </row>
    <row r="182" spans="1:4" x14ac:dyDescent="0.25">
      <c r="A182" s="2" t="s">
        <v>42</v>
      </c>
      <c r="B182" s="5"/>
      <c r="C182" s="4">
        <v>120133</v>
      </c>
    </row>
    <row r="183" spans="1:4" x14ac:dyDescent="0.25">
      <c r="A183" s="2" t="s">
        <v>68</v>
      </c>
      <c r="B183" s="5"/>
      <c r="C183" s="4">
        <v>120133</v>
      </c>
    </row>
    <row r="184" spans="1:4" x14ac:dyDescent="0.25">
      <c r="A184" s="2" t="s">
        <v>68</v>
      </c>
      <c r="B184" s="5" t="s">
        <v>321</v>
      </c>
      <c r="C184" s="4" t="s">
        <v>322</v>
      </c>
      <c r="D184" t="s">
        <v>191</v>
      </c>
    </row>
    <row r="185" spans="1:4" x14ac:dyDescent="0.25">
      <c r="A185" s="2" t="s">
        <v>68</v>
      </c>
      <c r="B185" s="5" t="s">
        <v>69</v>
      </c>
      <c r="C185" s="4">
        <v>17659</v>
      </c>
      <c r="D185" t="s">
        <v>236</v>
      </c>
    </row>
    <row r="186" spans="1:4" x14ac:dyDescent="0.25">
      <c r="A186" s="2" t="s">
        <v>68</v>
      </c>
      <c r="B186" s="5" t="s">
        <v>70</v>
      </c>
      <c r="C186" s="4">
        <v>15930</v>
      </c>
      <c r="D186" t="s">
        <v>235</v>
      </c>
    </row>
    <row r="187" spans="1:4" x14ac:dyDescent="0.25">
      <c r="A187" s="2" t="s">
        <v>68</v>
      </c>
      <c r="B187" s="5" t="s">
        <v>71</v>
      </c>
      <c r="C187" s="4">
        <v>9846</v>
      </c>
      <c r="D187" t="s">
        <v>237</v>
      </c>
    </row>
    <row r="188" spans="1:4" x14ac:dyDescent="0.25">
      <c r="A188" s="2" t="s">
        <v>68</v>
      </c>
      <c r="B188" s="5" t="s">
        <v>72</v>
      </c>
      <c r="C188" s="4">
        <v>7867</v>
      </c>
      <c r="D188" t="s">
        <v>238</v>
      </c>
    </row>
    <row r="189" spans="1:4" x14ac:dyDescent="0.25">
      <c r="A189" s="2" t="s">
        <v>68</v>
      </c>
      <c r="B189" s="5" t="s">
        <v>74</v>
      </c>
      <c r="C189" s="4">
        <v>5196</v>
      </c>
      <c r="D189" t="s">
        <v>239</v>
      </c>
    </row>
    <row r="190" spans="1:4" x14ac:dyDescent="0.25">
      <c r="A190" s="2" t="s">
        <v>68</v>
      </c>
      <c r="B190" s="5" t="s">
        <v>120</v>
      </c>
      <c r="C190" s="4">
        <v>4053</v>
      </c>
      <c r="D190" t="s">
        <v>240</v>
      </c>
    </row>
    <row r="191" spans="1:4" x14ac:dyDescent="0.25">
      <c r="A191" s="2" t="s">
        <v>68</v>
      </c>
      <c r="B191" s="5" t="s">
        <v>75</v>
      </c>
      <c r="C191" s="4">
        <v>3713</v>
      </c>
      <c r="D191" t="s">
        <v>242</v>
      </c>
    </row>
    <row r="192" spans="1:4" x14ac:dyDescent="0.25">
      <c r="A192" s="2" t="s">
        <v>68</v>
      </c>
      <c r="B192" s="5" t="s">
        <v>385</v>
      </c>
      <c r="C192" s="4">
        <v>3462</v>
      </c>
    </row>
    <row r="193" spans="1:4" x14ac:dyDescent="0.25">
      <c r="A193" s="2" t="s">
        <v>68</v>
      </c>
      <c r="B193" s="5" t="s">
        <v>386</v>
      </c>
      <c r="C193" s="4">
        <v>3153</v>
      </c>
    </row>
    <row r="194" spans="1:4" x14ac:dyDescent="0.25">
      <c r="A194" s="2" t="s">
        <v>68</v>
      </c>
      <c r="B194" s="5" t="s">
        <v>73</v>
      </c>
      <c r="C194" s="4">
        <v>2970</v>
      </c>
      <c r="D194" t="s">
        <v>241</v>
      </c>
    </row>
    <row r="195" spans="1:4" x14ac:dyDescent="0.25">
      <c r="A195" s="2"/>
      <c r="B195" s="5"/>
      <c r="C195" s="4"/>
    </row>
    <row r="196" spans="1:4" x14ac:dyDescent="0.25">
      <c r="A196" s="2"/>
      <c r="B196" s="5"/>
      <c r="C196" s="4"/>
    </row>
    <row r="197" spans="1:4" x14ac:dyDescent="0.25">
      <c r="A197" s="2" t="s">
        <v>0</v>
      </c>
      <c r="B197" s="5"/>
      <c r="C197" s="4"/>
    </row>
    <row r="198" spans="1:4" x14ac:dyDescent="0.25">
      <c r="A198" s="2" t="s">
        <v>76</v>
      </c>
      <c r="B198" s="5"/>
      <c r="C198" s="4"/>
    </row>
    <row r="199" spans="1:4" x14ac:dyDescent="0.25">
      <c r="A199" s="2" t="s">
        <v>2</v>
      </c>
      <c r="B199" s="5"/>
      <c r="C199" s="4"/>
    </row>
    <row r="200" spans="1:4" x14ac:dyDescent="0.25">
      <c r="A200" s="2" t="s">
        <v>381</v>
      </c>
      <c r="B200" s="5"/>
      <c r="C200" s="4"/>
    </row>
    <row r="201" spans="1:4" x14ac:dyDescent="0.25">
      <c r="A201" s="2" t="s">
        <v>3</v>
      </c>
      <c r="B201" s="5"/>
      <c r="C201" s="4"/>
    </row>
    <row r="202" spans="1:4" x14ac:dyDescent="0.25">
      <c r="A202" s="2" t="s">
        <v>0</v>
      </c>
      <c r="B202" s="5"/>
      <c r="C202" s="4"/>
    </row>
    <row r="203" spans="1:4" x14ac:dyDescent="0.25">
      <c r="A203" s="2"/>
      <c r="B203" s="5"/>
      <c r="C203" s="4"/>
    </row>
    <row r="204" spans="1:4" x14ac:dyDescent="0.25">
      <c r="A204" s="2"/>
      <c r="B204" s="5"/>
      <c r="C204" s="4"/>
    </row>
    <row r="205" spans="1:4" x14ac:dyDescent="0.25">
      <c r="A205" s="2" t="s">
        <v>4</v>
      </c>
      <c r="B205" s="5"/>
      <c r="C205" s="4"/>
    </row>
    <row r="206" spans="1:4" x14ac:dyDescent="0.25">
      <c r="A206" s="2" t="s">
        <v>77</v>
      </c>
      <c r="B206" s="5"/>
      <c r="C206" s="4"/>
    </row>
    <row r="207" spans="1:4" x14ac:dyDescent="0.25">
      <c r="A207" s="2" t="s">
        <v>4</v>
      </c>
      <c r="B207" s="5"/>
      <c r="C207" s="4"/>
    </row>
    <row r="208" spans="1:4" x14ac:dyDescent="0.25">
      <c r="A208" s="2"/>
      <c r="B208" s="5"/>
      <c r="C208" s="4" t="s">
        <v>41</v>
      </c>
    </row>
    <row r="209" spans="1:4" x14ac:dyDescent="0.25">
      <c r="A209" s="2" t="s">
        <v>42</v>
      </c>
      <c r="B209" s="5"/>
      <c r="C209" s="4">
        <v>736210</v>
      </c>
    </row>
    <row r="210" spans="1:4" x14ac:dyDescent="0.25">
      <c r="A210" s="2" t="s">
        <v>351</v>
      </c>
      <c r="B210" s="5"/>
      <c r="C210" s="4">
        <v>736210</v>
      </c>
    </row>
    <row r="211" spans="1:4" x14ac:dyDescent="0.25">
      <c r="A211" s="2" t="s">
        <v>351</v>
      </c>
      <c r="B211" s="5" t="s">
        <v>321</v>
      </c>
      <c r="C211" s="4" t="s">
        <v>322</v>
      </c>
      <c r="D211" t="s">
        <v>191</v>
      </c>
    </row>
    <row r="212" spans="1:4" x14ac:dyDescent="0.25">
      <c r="A212" s="2" t="s">
        <v>351</v>
      </c>
      <c r="B212" s="5" t="s">
        <v>78</v>
      </c>
      <c r="C212" s="4">
        <v>37556</v>
      </c>
      <c r="D212" t="s">
        <v>246</v>
      </c>
    </row>
    <row r="213" spans="1:4" x14ac:dyDescent="0.25">
      <c r="A213" s="2" t="s">
        <v>351</v>
      </c>
      <c r="B213" s="5" t="s">
        <v>79</v>
      </c>
      <c r="C213" s="4">
        <v>32438</v>
      </c>
      <c r="D213" t="s">
        <v>248</v>
      </c>
    </row>
    <row r="214" spans="1:4" x14ac:dyDescent="0.25">
      <c r="A214" s="2" t="s">
        <v>351</v>
      </c>
      <c r="B214" s="5" t="s">
        <v>81</v>
      </c>
      <c r="C214" s="4">
        <v>14637</v>
      </c>
      <c r="D214" t="s">
        <v>249</v>
      </c>
    </row>
    <row r="215" spans="1:4" x14ac:dyDescent="0.25">
      <c r="A215" s="2" t="s">
        <v>351</v>
      </c>
      <c r="B215" s="5" t="s">
        <v>80</v>
      </c>
      <c r="C215" s="4">
        <v>12918</v>
      </c>
      <c r="D215" t="s">
        <v>247</v>
      </c>
    </row>
    <row r="216" spans="1:4" x14ac:dyDescent="0.25">
      <c r="A216" s="2" t="s">
        <v>351</v>
      </c>
      <c r="B216" s="5" t="s">
        <v>250</v>
      </c>
      <c r="C216" s="4">
        <v>8869</v>
      </c>
      <c r="D216" t="s">
        <v>251</v>
      </c>
    </row>
    <row r="217" spans="1:4" x14ac:dyDescent="0.25">
      <c r="A217" s="2" t="s">
        <v>351</v>
      </c>
      <c r="B217" s="5" t="s">
        <v>252</v>
      </c>
      <c r="C217" s="4">
        <v>4509</v>
      </c>
      <c r="D217" t="s">
        <v>253</v>
      </c>
    </row>
    <row r="218" spans="1:4" x14ac:dyDescent="0.25">
      <c r="A218" s="2" t="s">
        <v>351</v>
      </c>
      <c r="B218" s="5" t="s">
        <v>255</v>
      </c>
      <c r="C218" s="4">
        <v>1397</v>
      </c>
      <c r="D218" t="s">
        <v>256</v>
      </c>
    </row>
    <row r="219" spans="1:4" x14ac:dyDescent="0.25">
      <c r="A219" s="2" t="s">
        <v>351</v>
      </c>
      <c r="B219" s="5" t="s">
        <v>164</v>
      </c>
      <c r="C219" s="4">
        <v>606</v>
      </c>
      <c r="D219" t="s">
        <v>257</v>
      </c>
    </row>
    <row r="220" spans="1:4" x14ac:dyDescent="0.25">
      <c r="A220" s="2" t="s">
        <v>351</v>
      </c>
      <c r="B220" s="5" t="s">
        <v>258</v>
      </c>
      <c r="C220" s="4">
        <v>320</v>
      </c>
      <c r="D220" t="s">
        <v>259</v>
      </c>
    </row>
    <row r="221" spans="1:4" x14ac:dyDescent="0.25">
      <c r="A221" s="2" t="s">
        <v>351</v>
      </c>
      <c r="B221" s="5" t="s">
        <v>415</v>
      </c>
      <c r="C221" s="4">
        <v>101</v>
      </c>
      <c r="D221" t="s">
        <v>416</v>
      </c>
    </row>
    <row r="222" spans="1:4" x14ac:dyDescent="0.25">
      <c r="A222" s="2"/>
      <c r="B222" s="5"/>
      <c r="C222" s="4"/>
    </row>
    <row r="223" spans="1:4" x14ac:dyDescent="0.25">
      <c r="A223" s="2"/>
      <c r="B223" s="5"/>
      <c r="C223" s="4"/>
    </row>
    <row r="224" spans="1:4" x14ac:dyDescent="0.25">
      <c r="A224" s="2" t="s">
        <v>4</v>
      </c>
      <c r="B224" s="5"/>
      <c r="C224" s="4"/>
    </row>
    <row r="225" spans="1:4" x14ac:dyDescent="0.25">
      <c r="A225" s="2" t="s">
        <v>82</v>
      </c>
      <c r="B225" s="5"/>
      <c r="C225" s="4"/>
    </row>
    <row r="226" spans="1:4" x14ac:dyDescent="0.25">
      <c r="A226" s="2" t="s">
        <v>4</v>
      </c>
      <c r="B226" s="5"/>
      <c r="C226" s="4"/>
    </row>
    <row r="227" spans="1:4" x14ac:dyDescent="0.25">
      <c r="A227" s="2"/>
      <c r="B227" s="5"/>
      <c r="C227" s="4" t="s">
        <v>41</v>
      </c>
    </row>
    <row r="228" spans="1:4" x14ac:dyDescent="0.25">
      <c r="A228" s="2" t="s">
        <v>42</v>
      </c>
      <c r="B228" s="5"/>
      <c r="C228" s="4">
        <v>85738</v>
      </c>
    </row>
    <row r="229" spans="1:4" x14ac:dyDescent="0.25">
      <c r="A229" s="2" t="s">
        <v>83</v>
      </c>
      <c r="B229" s="5"/>
      <c r="C229" s="4">
        <v>85738</v>
      </c>
    </row>
    <row r="230" spans="1:4" x14ac:dyDescent="0.25">
      <c r="A230" s="2" t="s">
        <v>83</v>
      </c>
      <c r="B230" s="5" t="s">
        <v>321</v>
      </c>
      <c r="C230" s="4" t="s">
        <v>322</v>
      </c>
      <c r="D230" t="s">
        <v>191</v>
      </c>
    </row>
    <row r="231" spans="1:4" x14ac:dyDescent="0.25">
      <c r="A231" s="2" t="s">
        <v>83</v>
      </c>
      <c r="B231" s="5" t="s">
        <v>84</v>
      </c>
      <c r="C231" s="4">
        <v>22066</v>
      </c>
      <c r="D231" t="s">
        <v>260</v>
      </c>
    </row>
    <row r="232" spans="1:4" x14ac:dyDescent="0.25">
      <c r="A232" s="2" t="s">
        <v>83</v>
      </c>
      <c r="B232" s="5" t="s">
        <v>261</v>
      </c>
      <c r="C232" s="4">
        <v>5206</v>
      </c>
      <c r="D232" t="s">
        <v>262</v>
      </c>
    </row>
    <row r="233" spans="1:4" x14ac:dyDescent="0.25">
      <c r="A233" s="2" t="s">
        <v>83</v>
      </c>
      <c r="B233" s="5" t="s">
        <v>265</v>
      </c>
      <c r="C233" s="4">
        <v>2392</v>
      </c>
      <c r="D233" t="s">
        <v>266</v>
      </c>
    </row>
    <row r="234" spans="1:4" x14ac:dyDescent="0.25">
      <c r="A234" s="2" t="s">
        <v>83</v>
      </c>
      <c r="B234" s="5" t="s">
        <v>263</v>
      </c>
      <c r="C234" s="4">
        <v>1693</v>
      </c>
      <c r="D234" t="s">
        <v>264</v>
      </c>
    </row>
    <row r="235" spans="1:4" x14ac:dyDescent="0.25">
      <c r="A235" s="2" t="s">
        <v>83</v>
      </c>
      <c r="B235" s="5" t="s">
        <v>267</v>
      </c>
      <c r="C235" s="4">
        <v>1279</v>
      </c>
      <c r="D235" t="s">
        <v>268</v>
      </c>
    </row>
    <row r="236" spans="1:4" x14ac:dyDescent="0.25">
      <c r="A236" s="2" t="s">
        <v>83</v>
      </c>
      <c r="B236" s="5" t="s">
        <v>165</v>
      </c>
      <c r="C236" s="4">
        <v>407</v>
      </c>
      <c r="D236" t="s">
        <v>269</v>
      </c>
    </row>
    <row r="237" spans="1:4" x14ac:dyDescent="0.25">
      <c r="A237" s="2" t="s">
        <v>83</v>
      </c>
      <c r="B237" s="5" t="s">
        <v>166</v>
      </c>
      <c r="C237" s="4">
        <v>283</v>
      </c>
      <c r="D237" t="s">
        <v>270</v>
      </c>
    </row>
    <row r="238" spans="1:4" x14ac:dyDescent="0.25">
      <c r="A238" s="2"/>
      <c r="B238" s="5"/>
      <c r="C238" s="4"/>
    </row>
    <row r="239" spans="1:4" x14ac:dyDescent="0.25">
      <c r="A239" s="2"/>
      <c r="B239" s="5"/>
      <c r="C239" s="4"/>
    </row>
    <row r="240" spans="1:4" x14ac:dyDescent="0.25">
      <c r="A240" s="2" t="s">
        <v>4</v>
      </c>
      <c r="B240" s="5"/>
      <c r="C240" s="4"/>
    </row>
    <row r="241" spans="1:4" x14ac:dyDescent="0.25">
      <c r="A241" s="2" t="s">
        <v>85</v>
      </c>
      <c r="B241" s="5"/>
      <c r="C241" s="4"/>
    </row>
    <row r="242" spans="1:4" x14ac:dyDescent="0.25">
      <c r="A242" s="2" t="s">
        <v>4</v>
      </c>
      <c r="B242" s="5"/>
      <c r="C242" s="4"/>
    </row>
    <row r="243" spans="1:4" x14ac:dyDescent="0.25">
      <c r="A243" s="2"/>
      <c r="B243" s="5"/>
      <c r="C243" s="4" t="s">
        <v>41</v>
      </c>
    </row>
    <row r="244" spans="1:4" x14ac:dyDescent="0.25">
      <c r="A244" s="2" t="s">
        <v>42</v>
      </c>
      <c r="B244" s="5"/>
      <c r="C244" s="4">
        <v>109518</v>
      </c>
    </row>
    <row r="245" spans="1:4" x14ac:dyDescent="0.25">
      <c r="A245" s="2" t="s">
        <v>86</v>
      </c>
      <c r="B245" s="5"/>
      <c r="C245" s="4">
        <v>109518</v>
      </c>
    </row>
    <row r="246" spans="1:4" x14ac:dyDescent="0.25">
      <c r="A246" s="2" t="s">
        <v>86</v>
      </c>
      <c r="B246" s="5" t="s">
        <v>321</v>
      </c>
      <c r="C246" s="4" t="s">
        <v>322</v>
      </c>
      <c r="D246" t="s">
        <v>191</v>
      </c>
    </row>
    <row r="247" spans="1:4" x14ac:dyDescent="0.25">
      <c r="A247" s="2" t="s">
        <v>86</v>
      </c>
      <c r="B247" s="5" t="s">
        <v>271</v>
      </c>
      <c r="C247" s="4">
        <v>18924</v>
      </c>
      <c r="D247" t="s">
        <v>272</v>
      </c>
    </row>
    <row r="248" spans="1:4" x14ac:dyDescent="0.25">
      <c r="A248" s="2" t="s">
        <v>86</v>
      </c>
      <c r="B248" s="5" t="s">
        <v>87</v>
      </c>
      <c r="C248" s="4">
        <v>8139</v>
      </c>
      <c r="D248" t="s">
        <v>275</v>
      </c>
    </row>
    <row r="249" spans="1:4" x14ac:dyDescent="0.25">
      <c r="A249" s="2" t="s">
        <v>86</v>
      </c>
      <c r="B249" s="5" t="s">
        <v>281</v>
      </c>
      <c r="C249" s="4">
        <v>5090</v>
      </c>
      <c r="D249" t="s">
        <v>282</v>
      </c>
    </row>
    <row r="250" spans="1:4" x14ac:dyDescent="0.25">
      <c r="A250" s="2" t="s">
        <v>86</v>
      </c>
      <c r="B250" s="5" t="s">
        <v>273</v>
      </c>
      <c r="C250" s="4">
        <v>3860</v>
      </c>
      <c r="D250" t="s">
        <v>274</v>
      </c>
    </row>
    <row r="251" spans="1:4" x14ac:dyDescent="0.25">
      <c r="A251" s="2" t="s">
        <v>86</v>
      </c>
      <c r="B251" s="5" t="s">
        <v>279</v>
      </c>
      <c r="C251" s="4">
        <v>3658</v>
      </c>
      <c r="D251" t="s">
        <v>280</v>
      </c>
    </row>
    <row r="252" spans="1:4" x14ac:dyDescent="0.25">
      <c r="A252" s="2" t="s">
        <v>86</v>
      </c>
      <c r="B252" s="5" t="s">
        <v>167</v>
      </c>
      <c r="C252" s="4">
        <v>3247</v>
      </c>
      <c r="D252" t="s">
        <v>276</v>
      </c>
    </row>
    <row r="253" spans="1:4" x14ac:dyDescent="0.25">
      <c r="A253" s="2" t="s">
        <v>86</v>
      </c>
      <c r="B253" s="5" t="s">
        <v>287</v>
      </c>
      <c r="C253" s="4">
        <v>1386</v>
      </c>
      <c r="D253" t="s">
        <v>256</v>
      </c>
    </row>
    <row r="254" spans="1:4" x14ac:dyDescent="0.25">
      <c r="A254" s="2" t="s">
        <v>86</v>
      </c>
      <c r="B254" s="5" t="s">
        <v>283</v>
      </c>
      <c r="C254" s="4">
        <v>704</v>
      </c>
      <c r="D254" t="s">
        <v>284</v>
      </c>
    </row>
    <row r="255" spans="1:4" x14ac:dyDescent="0.25">
      <c r="A255" s="2" t="s">
        <v>86</v>
      </c>
      <c r="B255" s="5" t="s">
        <v>277</v>
      </c>
      <c r="C255" s="4">
        <v>595</v>
      </c>
      <c r="D255" t="s">
        <v>278</v>
      </c>
    </row>
    <row r="256" spans="1:4" x14ac:dyDescent="0.25">
      <c r="A256" s="2" t="s">
        <v>86</v>
      </c>
      <c r="B256" s="5" t="s">
        <v>285</v>
      </c>
      <c r="C256" s="4">
        <v>249</v>
      </c>
      <c r="D256" t="s">
        <v>286</v>
      </c>
    </row>
    <row r="257" spans="1:4" x14ac:dyDescent="0.25">
      <c r="A257" s="2"/>
      <c r="B257" s="5"/>
      <c r="C257" s="4"/>
    </row>
    <row r="258" spans="1:4" x14ac:dyDescent="0.25">
      <c r="A258" s="2"/>
      <c r="B258" s="5"/>
      <c r="C258" s="4"/>
    </row>
    <row r="259" spans="1:4" x14ac:dyDescent="0.25">
      <c r="A259" s="2" t="s">
        <v>4</v>
      </c>
      <c r="B259" s="5"/>
      <c r="C259" s="4"/>
    </row>
    <row r="260" spans="1:4" x14ac:dyDescent="0.25">
      <c r="A260" s="2" t="s">
        <v>88</v>
      </c>
      <c r="B260" s="5"/>
      <c r="C260" s="4"/>
    </row>
    <row r="261" spans="1:4" x14ac:dyDescent="0.25">
      <c r="A261" s="2" t="s">
        <v>4</v>
      </c>
      <c r="B261" s="5"/>
      <c r="C261" s="4"/>
    </row>
    <row r="262" spans="1:4" x14ac:dyDescent="0.25">
      <c r="A262" s="2"/>
      <c r="B262" s="5"/>
      <c r="C262" s="4" t="s">
        <v>41</v>
      </c>
    </row>
    <row r="263" spans="1:4" x14ac:dyDescent="0.25">
      <c r="A263" s="2" t="s">
        <v>42</v>
      </c>
      <c r="B263" s="5"/>
      <c r="C263" s="4">
        <v>32569</v>
      </c>
    </row>
    <row r="264" spans="1:4" x14ac:dyDescent="0.25">
      <c r="A264" s="2" t="s">
        <v>89</v>
      </c>
      <c r="B264" s="5"/>
      <c r="C264" s="4">
        <v>32569</v>
      </c>
    </row>
    <row r="265" spans="1:4" x14ac:dyDescent="0.25">
      <c r="A265" s="2" t="s">
        <v>89</v>
      </c>
      <c r="B265" s="5" t="s">
        <v>321</v>
      </c>
      <c r="C265" s="4" t="s">
        <v>322</v>
      </c>
      <c r="D265" t="s">
        <v>191</v>
      </c>
    </row>
    <row r="266" spans="1:4" x14ac:dyDescent="0.25">
      <c r="A266" s="2" t="s">
        <v>89</v>
      </c>
      <c r="B266" s="5" t="s">
        <v>90</v>
      </c>
      <c r="C266" s="4">
        <v>3486</v>
      </c>
      <c r="D266" t="s">
        <v>288</v>
      </c>
    </row>
    <row r="267" spans="1:4" x14ac:dyDescent="0.25">
      <c r="A267" s="2" t="s">
        <v>89</v>
      </c>
      <c r="B267" s="5" t="s">
        <v>290</v>
      </c>
      <c r="C267" s="4">
        <v>1144</v>
      </c>
      <c r="D267" t="s">
        <v>291</v>
      </c>
    </row>
    <row r="268" spans="1:4" x14ac:dyDescent="0.25">
      <c r="A268" s="2" t="s">
        <v>89</v>
      </c>
      <c r="B268" s="5" t="s">
        <v>299</v>
      </c>
      <c r="C268" s="4">
        <v>775</v>
      </c>
      <c r="D268" t="s">
        <v>300</v>
      </c>
    </row>
    <row r="269" spans="1:4" x14ac:dyDescent="0.25">
      <c r="A269" s="2" t="s">
        <v>89</v>
      </c>
      <c r="B269" s="5" t="s">
        <v>292</v>
      </c>
      <c r="C269" s="4">
        <v>707</v>
      </c>
      <c r="D269" t="s">
        <v>293</v>
      </c>
    </row>
    <row r="270" spans="1:4" x14ac:dyDescent="0.25">
      <c r="A270" s="2" t="s">
        <v>89</v>
      </c>
      <c r="B270" s="5" t="s">
        <v>168</v>
      </c>
      <c r="C270" s="4">
        <v>682</v>
      </c>
      <c r="D270" t="s">
        <v>289</v>
      </c>
    </row>
    <row r="271" spans="1:4" x14ac:dyDescent="0.25">
      <c r="A271" s="2" t="s">
        <v>89</v>
      </c>
      <c r="B271" s="5" t="s">
        <v>167</v>
      </c>
      <c r="C271" s="4">
        <v>474</v>
      </c>
      <c r="D271" t="s">
        <v>276</v>
      </c>
    </row>
    <row r="272" spans="1:4" x14ac:dyDescent="0.25">
      <c r="A272" s="2" t="s">
        <v>89</v>
      </c>
      <c r="B272" s="5" t="s">
        <v>169</v>
      </c>
      <c r="C272" s="4">
        <v>81</v>
      </c>
      <c r="D272" t="s">
        <v>296</v>
      </c>
    </row>
    <row r="273" spans="1:4" x14ac:dyDescent="0.25">
      <c r="A273" s="2" t="s">
        <v>89</v>
      </c>
      <c r="B273" s="5" t="s">
        <v>387</v>
      </c>
      <c r="C273" s="4">
        <v>53</v>
      </c>
    </row>
    <row r="274" spans="1:4" x14ac:dyDescent="0.25">
      <c r="A274" s="2" t="s">
        <v>89</v>
      </c>
      <c r="B274" s="5" t="s">
        <v>170</v>
      </c>
      <c r="C274" s="4">
        <v>38</v>
      </c>
      <c r="D274" t="s">
        <v>301</v>
      </c>
    </row>
    <row r="275" spans="1:4" x14ac:dyDescent="0.25">
      <c r="A275" s="2" t="s">
        <v>89</v>
      </c>
      <c r="B275" s="5" t="s">
        <v>297</v>
      </c>
      <c r="C275" s="4">
        <v>32</v>
      </c>
      <c r="D275" t="s">
        <v>298</v>
      </c>
    </row>
    <row r="276" spans="1:4" x14ac:dyDescent="0.25">
      <c r="A276" s="2"/>
      <c r="B276" s="5"/>
      <c r="C276" s="4"/>
    </row>
    <row r="277" spans="1:4" x14ac:dyDescent="0.25">
      <c r="A277" s="2"/>
      <c r="B277" s="5"/>
      <c r="C277" s="4"/>
    </row>
    <row r="278" spans="1:4" x14ac:dyDescent="0.25">
      <c r="A278" s="2" t="s">
        <v>4</v>
      </c>
      <c r="B278" s="5"/>
      <c r="C278" s="4"/>
    </row>
    <row r="279" spans="1:4" x14ac:dyDescent="0.25">
      <c r="A279" s="2" t="s">
        <v>67</v>
      </c>
      <c r="B279" s="5"/>
      <c r="C279" s="4"/>
    </row>
    <row r="280" spans="1:4" x14ac:dyDescent="0.25">
      <c r="A280" s="2" t="s">
        <v>4</v>
      </c>
      <c r="B280" s="5"/>
      <c r="C280" s="4"/>
    </row>
    <row r="281" spans="1:4" x14ac:dyDescent="0.25">
      <c r="A281" s="2"/>
      <c r="B281" s="5"/>
      <c r="C281" s="4" t="s">
        <v>41</v>
      </c>
    </row>
    <row r="282" spans="1:4" x14ac:dyDescent="0.25">
      <c r="A282" s="2" t="s">
        <v>42</v>
      </c>
      <c r="B282" s="5"/>
      <c r="C282" s="4">
        <v>34798</v>
      </c>
    </row>
    <row r="283" spans="1:4" x14ac:dyDescent="0.25">
      <c r="A283" s="2" t="s">
        <v>352</v>
      </c>
      <c r="B283" s="5"/>
      <c r="C283" s="4">
        <v>34798</v>
      </c>
    </row>
    <row r="284" spans="1:4" x14ac:dyDescent="0.25">
      <c r="A284" s="2" t="s">
        <v>352</v>
      </c>
      <c r="B284" s="5" t="s">
        <v>321</v>
      </c>
      <c r="C284" s="4" t="s">
        <v>322</v>
      </c>
      <c r="D284" t="s">
        <v>191</v>
      </c>
    </row>
    <row r="285" spans="1:4" x14ac:dyDescent="0.25">
      <c r="A285" s="2" t="s">
        <v>352</v>
      </c>
      <c r="B285" s="5" t="s">
        <v>306</v>
      </c>
      <c r="C285" s="4">
        <v>4886</v>
      </c>
      <c r="D285" t="s">
        <v>307</v>
      </c>
    </row>
    <row r="286" spans="1:4" x14ac:dyDescent="0.25">
      <c r="A286" s="2" t="s">
        <v>352</v>
      </c>
      <c r="B286" s="5" t="s">
        <v>304</v>
      </c>
      <c r="C286" s="4">
        <v>3065</v>
      </c>
      <c r="D286" t="s">
        <v>305</v>
      </c>
    </row>
    <row r="287" spans="1:4" x14ac:dyDescent="0.25">
      <c r="A287" s="2" t="s">
        <v>352</v>
      </c>
      <c r="B287" s="5" t="s">
        <v>312</v>
      </c>
      <c r="C287" s="4">
        <v>1897</v>
      </c>
      <c r="D287" t="s">
        <v>313</v>
      </c>
    </row>
    <row r="288" spans="1:4" x14ac:dyDescent="0.25">
      <c r="A288" s="2" t="s">
        <v>352</v>
      </c>
      <c r="B288" s="5" t="s">
        <v>308</v>
      </c>
      <c r="C288" s="4">
        <v>1788</v>
      </c>
      <c r="D288" t="s">
        <v>309</v>
      </c>
    </row>
    <row r="289" spans="1:4" x14ac:dyDescent="0.25">
      <c r="A289" s="2" t="s">
        <v>352</v>
      </c>
      <c r="B289" s="5" t="s">
        <v>302</v>
      </c>
      <c r="C289" s="4">
        <v>1682</v>
      </c>
      <c r="D289" t="s">
        <v>303</v>
      </c>
    </row>
    <row r="290" spans="1:4" x14ac:dyDescent="0.25">
      <c r="A290" s="2" t="s">
        <v>352</v>
      </c>
      <c r="B290" s="5" t="s">
        <v>310</v>
      </c>
      <c r="C290" s="4">
        <v>1335</v>
      </c>
      <c r="D290" t="s">
        <v>311</v>
      </c>
    </row>
    <row r="291" spans="1:4" x14ac:dyDescent="0.25">
      <c r="A291" s="2" t="s">
        <v>352</v>
      </c>
      <c r="B291" s="5" t="s">
        <v>320</v>
      </c>
      <c r="C291" s="4">
        <v>784</v>
      </c>
      <c r="D291" t="s">
        <v>317</v>
      </c>
    </row>
    <row r="292" spans="1:4" x14ac:dyDescent="0.25">
      <c r="A292" s="2" t="s">
        <v>352</v>
      </c>
      <c r="B292" s="5" t="s">
        <v>316</v>
      </c>
      <c r="C292" s="4">
        <v>627</v>
      </c>
      <c r="D292" t="s">
        <v>317</v>
      </c>
    </row>
    <row r="293" spans="1:4" x14ac:dyDescent="0.25">
      <c r="A293" s="2" t="s">
        <v>352</v>
      </c>
      <c r="B293" s="5" t="s">
        <v>314</v>
      </c>
      <c r="C293" s="4">
        <v>582</v>
      </c>
      <c r="D293" t="s">
        <v>315</v>
      </c>
    </row>
    <row r="294" spans="1:4" x14ac:dyDescent="0.25">
      <c r="A294" s="2"/>
      <c r="B294" s="5"/>
      <c r="C294" s="4"/>
    </row>
    <row r="295" spans="1:4" x14ac:dyDescent="0.25">
      <c r="A295" s="2"/>
      <c r="B295" s="5"/>
      <c r="C295" s="4"/>
    </row>
    <row r="296" spans="1:4" x14ac:dyDescent="0.25">
      <c r="A296" s="2" t="s">
        <v>0</v>
      </c>
      <c r="B296" s="5"/>
      <c r="C296" s="4"/>
    </row>
    <row r="297" spans="1:4" x14ac:dyDescent="0.25">
      <c r="A297" s="2" t="s">
        <v>171</v>
      </c>
      <c r="B297" s="5"/>
      <c r="C297" s="4"/>
    </row>
    <row r="298" spans="1:4" x14ac:dyDescent="0.25">
      <c r="A298" s="2" t="s">
        <v>2</v>
      </c>
      <c r="B298" s="5"/>
      <c r="C298" s="4"/>
    </row>
    <row r="299" spans="1:4" x14ac:dyDescent="0.25">
      <c r="A299" s="2" t="s">
        <v>381</v>
      </c>
      <c r="B299" s="5"/>
      <c r="C299" s="4"/>
    </row>
    <row r="300" spans="1:4" x14ac:dyDescent="0.25">
      <c r="A300" s="2" t="s">
        <v>172</v>
      </c>
      <c r="B300" s="5"/>
      <c r="C300" s="4"/>
    </row>
    <row r="301" spans="1:4" x14ac:dyDescent="0.25">
      <c r="A301" s="2" t="s">
        <v>0</v>
      </c>
      <c r="B301" s="5"/>
      <c r="C301" s="4"/>
    </row>
    <row r="302" spans="1:4" x14ac:dyDescent="0.25">
      <c r="A302" s="2"/>
      <c r="B302" s="5"/>
      <c r="C302" s="4"/>
    </row>
    <row r="303" spans="1:4" x14ac:dyDescent="0.25">
      <c r="A303" s="2"/>
      <c r="B303" s="5"/>
      <c r="C303" s="4"/>
    </row>
    <row r="304" spans="1:4" x14ac:dyDescent="0.25">
      <c r="A304" s="2" t="s">
        <v>4</v>
      </c>
      <c r="B304" s="5"/>
      <c r="C304" s="4"/>
    </row>
    <row r="305" spans="1:9" x14ac:dyDescent="0.25">
      <c r="A305" s="2" t="s">
        <v>173</v>
      </c>
      <c r="B305" s="5"/>
      <c r="C305" s="4"/>
    </row>
    <row r="306" spans="1:9" x14ac:dyDescent="0.25">
      <c r="A306" s="2" t="s">
        <v>4</v>
      </c>
      <c r="B306" s="5"/>
      <c r="C306" s="4"/>
    </row>
    <row r="307" spans="1:9" x14ac:dyDescent="0.25">
      <c r="A307" s="2"/>
      <c r="B307" s="5" t="s">
        <v>94</v>
      </c>
      <c r="C307" s="4" t="s">
        <v>94</v>
      </c>
      <c r="D307" t="s">
        <v>93</v>
      </c>
      <c r="E307" t="s">
        <v>93</v>
      </c>
      <c r="F307" t="s">
        <v>92</v>
      </c>
      <c r="G307" t="s">
        <v>92</v>
      </c>
      <c r="H307" t="s">
        <v>353</v>
      </c>
      <c r="I307" t="s">
        <v>353</v>
      </c>
    </row>
    <row r="308" spans="1:9" x14ac:dyDescent="0.25">
      <c r="A308" s="2"/>
      <c r="B308" s="5" t="s">
        <v>91</v>
      </c>
      <c r="C308" s="4" t="s">
        <v>382</v>
      </c>
      <c r="D308" t="s">
        <v>91</v>
      </c>
      <c r="E308" t="s">
        <v>388</v>
      </c>
      <c r="F308" t="s">
        <v>91</v>
      </c>
      <c r="G308" t="s">
        <v>382</v>
      </c>
      <c r="H308" t="s">
        <v>95</v>
      </c>
      <c r="I308" t="s">
        <v>382</v>
      </c>
    </row>
    <row r="309" spans="1:9" x14ac:dyDescent="0.25">
      <c r="A309" s="2"/>
      <c r="B309" s="5" t="s">
        <v>91</v>
      </c>
      <c r="C309" s="4" t="s">
        <v>91</v>
      </c>
      <c r="D309" t="s">
        <v>91</v>
      </c>
      <c r="E309" t="s">
        <v>91</v>
      </c>
      <c r="F309" t="s">
        <v>91</v>
      </c>
      <c r="G309" t="s">
        <v>91</v>
      </c>
      <c r="H309" t="s">
        <v>95</v>
      </c>
      <c r="I309" t="s">
        <v>95</v>
      </c>
    </row>
    <row r="310" spans="1:9" x14ac:dyDescent="0.25">
      <c r="A310" s="2" t="s">
        <v>127</v>
      </c>
      <c r="B310" s="5" t="s">
        <v>323</v>
      </c>
      <c r="C310" s="4" t="s">
        <v>324</v>
      </c>
      <c r="D310" t="s">
        <v>325</v>
      </c>
      <c r="E310" t="s">
        <v>326</v>
      </c>
      <c r="F310" t="s">
        <v>327</v>
      </c>
      <c r="G310" t="s">
        <v>328</v>
      </c>
      <c r="H310" t="s">
        <v>329</v>
      </c>
      <c r="I310" t="s">
        <v>330</v>
      </c>
    </row>
    <row r="311" spans="1:9" x14ac:dyDescent="0.25">
      <c r="A311" s="2">
        <v>45689</v>
      </c>
      <c r="B311" s="3">
        <v>0.78846598529343703</v>
      </c>
      <c r="C311" s="3">
        <v>0.78888619267168103</v>
      </c>
      <c r="D311" s="3">
        <v>0.64232530176201197</v>
      </c>
      <c r="E311" s="3">
        <v>0.63504003882552695</v>
      </c>
      <c r="F311" s="3">
        <v>0.624982657355593</v>
      </c>
      <c r="G311" s="3">
        <v>0.61324112270484499</v>
      </c>
      <c r="H311" s="3">
        <v>21623</v>
      </c>
      <c r="I311" s="3">
        <v>24726</v>
      </c>
    </row>
    <row r="312" spans="1:9" x14ac:dyDescent="0.25">
      <c r="A312" s="2"/>
      <c r="B312" s="3"/>
      <c r="C312" s="3"/>
      <c r="D312" s="3"/>
      <c r="E312" s="3"/>
      <c r="F312" s="3"/>
      <c r="G312" s="3"/>
      <c r="H312" s="3"/>
      <c r="I312" s="3"/>
    </row>
    <row r="313" spans="1:9" x14ac:dyDescent="0.25">
      <c r="A313" s="2"/>
      <c r="B313" s="3"/>
      <c r="C313" s="3"/>
      <c r="D313" s="3"/>
      <c r="E313" s="3"/>
      <c r="F313" s="3"/>
      <c r="G313" s="3"/>
      <c r="H313" s="3"/>
      <c r="I313" s="3"/>
    </row>
    <row r="314" spans="1:9" x14ac:dyDescent="0.25">
      <c r="A314" s="2" t="s">
        <v>4</v>
      </c>
      <c r="B314" s="5"/>
      <c r="C314" s="4"/>
    </row>
    <row r="315" spans="1:9" x14ac:dyDescent="0.25">
      <c r="A315" s="2" t="s">
        <v>174</v>
      </c>
      <c r="B315" s="3"/>
      <c r="C315" s="3"/>
      <c r="D315" s="3"/>
      <c r="E315" s="3"/>
      <c r="F315" s="3"/>
      <c r="G315" s="3"/>
      <c r="H315" s="3"/>
      <c r="I315" s="3"/>
    </row>
    <row r="316" spans="1:9" x14ac:dyDescent="0.25">
      <c r="A316" s="2" t="s">
        <v>4</v>
      </c>
      <c r="B316" s="3"/>
      <c r="C316" s="3"/>
      <c r="D316" s="3"/>
      <c r="E316" s="3"/>
      <c r="F316" s="3"/>
      <c r="G316" s="3"/>
      <c r="H316" s="3"/>
      <c r="I316" s="3"/>
    </row>
    <row r="317" spans="1:9" x14ac:dyDescent="0.25">
      <c r="A317" s="2"/>
      <c r="B317" s="3" t="s">
        <v>95</v>
      </c>
      <c r="C317" s="3" t="s">
        <v>95</v>
      </c>
      <c r="D317" s="3" t="s">
        <v>95</v>
      </c>
      <c r="E317" s="3" t="s">
        <v>95</v>
      </c>
      <c r="F317" s="3"/>
      <c r="G317" s="3"/>
      <c r="H317" s="3"/>
      <c r="I317" s="3"/>
    </row>
    <row r="318" spans="1:9" x14ac:dyDescent="0.25">
      <c r="A318" s="2"/>
      <c r="B318" s="3" t="s">
        <v>96</v>
      </c>
      <c r="C318" s="3" t="s">
        <v>93</v>
      </c>
      <c r="D318" s="3" t="s">
        <v>92</v>
      </c>
      <c r="E318" s="3" t="s">
        <v>353</v>
      </c>
      <c r="F318" s="3"/>
      <c r="G318" s="3"/>
      <c r="H318" s="3"/>
      <c r="I318" s="3"/>
    </row>
    <row r="319" spans="1:9" x14ac:dyDescent="0.25">
      <c r="A319" s="2" t="s">
        <v>360</v>
      </c>
      <c r="B319" s="3">
        <v>0.78846598529343703</v>
      </c>
      <c r="C319" s="3"/>
      <c r="D319" s="3"/>
      <c r="E319" s="3">
        <v>21623</v>
      </c>
      <c r="F319" s="3"/>
      <c r="G319" s="3"/>
      <c r="H319" s="3"/>
      <c r="I319" s="3"/>
    </row>
    <row r="320" spans="1:9" x14ac:dyDescent="0.25">
      <c r="A320" s="2" t="s">
        <v>331</v>
      </c>
      <c r="B320" s="3" t="s">
        <v>323</v>
      </c>
      <c r="C320" s="3" t="s">
        <v>325</v>
      </c>
      <c r="D320" s="3" t="s">
        <v>327</v>
      </c>
      <c r="E320" s="3" t="s">
        <v>332</v>
      </c>
    </row>
    <row r="321" spans="1:5" x14ac:dyDescent="0.25">
      <c r="A321" s="2" t="s">
        <v>97</v>
      </c>
      <c r="B321" s="3">
        <v>0.81558596073765599</v>
      </c>
      <c r="C321" s="3">
        <v>0.62304184017449904</v>
      </c>
      <c r="D321" s="3">
        <v>0.62680943882609497</v>
      </c>
      <c r="E321" s="3">
        <v>5043</v>
      </c>
    </row>
    <row r="322" spans="1:5" x14ac:dyDescent="0.25">
      <c r="A322" s="2" t="s">
        <v>39</v>
      </c>
      <c r="B322" s="3">
        <v>0.81407035175879305</v>
      </c>
      <c r="C322" s="3">
        <v>0.69681742043550998</v>
      </c>
      <c r="D322" s="3">
        <v>0.57621440536013402</v>
      </c>
      <c r="E322" s="3">
        <v>597</v>
      </c>
    </row>
    <row r="323" spans="1:5" x14ac:dyDescent="0.25">
      <c r="A323" s="2" t="s">
        <v>53</v>
      </c>
      <c r="B323" s="3">
        <v>0.80433955081842401</v>
      </c>
      <c r="C323" s="3">
        <v>0.65359725923106204</v>
      </c>
      <c r="D323" s="3">
        <v>0.588123334602207</v>
      </c>
      <c r="E323" s="3">
        <v>2627</v>
      </c>
    </row>
    <row r="324" spans="1:5" x14ac:dyDescent="0.25">
      <c r="A324" s="2" t="s">
        <v>99</v>
      </c>
      <c r="B324" s="3">
        <v>0.80124465188642502</v>
      </c>
      <c r="C324" s="3">
        <v>0.62504861921431298</v>
      </c>
      <c r="D324" s="3">
        <v>0.62427071178529703</v>
      </c>
      <c r="E324" s="3">
        <v>2571</v>
      </c>
    </row>
    <row r="325" spans="1:5" x14ac:dyDescent="0.25">
      <c r="A325" s="2" t="s">
        <v>98</v>
      </c>
      <c r="B325" s="3">
        <v>0.791930379746835</v>
      </c>
      <c r="C325" s="3">
        <v>0.668512658227848</v>
      </c>
      <c r="D325" s="3">
        <v>0.681962025316455</v>
      </c>
      <c r="E325" s="3">
        <v>1264</v>
      </c>
    </row>
    <row r="326" spans="1:5" x14ac:dyDescent="0.25">
      <c r="A326" s="2" t="s">
        <v>100</v>
      </c>
      <c r="B326" s="3">
        <v>0.79178338001867399</v>
      </c>
      <c r="C326" s="3">
        <v>0.70494864612511599</v>
      </c>
      <c r="D326" s="3">
        <v>0.65452847805788905</v>
      </c>
      <c r="E326" s="3">
        <v>1071</v>
      </c>
    </row>
    <row r="327" spans="1:5" x14ac:dyDescent="0.25">
      <c r="A327" s="2" t="s">
        <v>122</v>
      </c>
      <c r="B327" s="3">
        <v>0.79126875852660306</v>
      </c>
      <c r="C327" s="3">
        <v>0.65893587994542901</v>
      </c>
      <c r="D327" s="3">
        <v>0.68758526603001302</v>
      </c>
      <c r="E327" s="3">
        <v>733</v>
      </c>
    </row>
    <row r="328" spans="1:5" x14ac:dyDescent="0.25">
      <c r="A328" s="2" t="s">
        <v>348</v>
      </c>
      <c r="B328" s="5">
        <v>0.76329331046312099</v>
      </c>
      <c r="C328" s="4">
        <v>0.67581475128644897</v>
      </c>
      <c r="D328">
        <v>0.60377358490566002</v>
      </c>
      <c r="E328">
        <v>583</v>
      </c>
    </row>
    <row r="329" spans="1:5" x14ac:dyDescent="0.25">
      <c r="A329" s="2" t="s">
        <v>101</v>
      </c>
      <c r="B329" s="5">
        <v>0.75503018108651898</v>
      </c>
      <c r="C329" s="4">
        <v>0.66096579476861095</v>
      </c>
      <c r="D329">
        <v>0.66096579476861095</v>
      </c>
      <c r="E329">
        <v>1988</v>
      </c>
    </row>
    <row r="330" spans="1:5" x14ac:dyDescent="0.25">
      <c r="A330" s="2" t="s">
        <v>123</v>
      </c>
      <c r="B330" s="5">
        <v>0.74810318664643305</v>
      </c>
      <c r="C330" s="4">
        <v>0.54172989377845204</v>
      </c>
      <c r="D330">
        <v>0.57207890743550804</v>
      </c>
      <c r="E330">
        <v>659</v>
      </c>
    </row>
    <row r="331" spans="1:5" x14ac:dyDescent="0.25">
      <c r="A331" s="2" t="s">
        <v>102</v>
      </c>
      <c r="B331" s="5">
        <v>0.67453625632377701</v>
      </c>
      <c r="C331" s="4">
        <v>0.57335581787520995</v>
      </c>
      <c r="D331">
        <v>0.54131534569983097</v>
      </c>
      <c r="E331">
        <v>593</v>
      </c>
    </row>
    <row r="332" spans="1:5" x14ac:dyDescent="0.25">
      <c r="A332" s="2" t="s">
        <v>361</v>
      </c>
      <c r="B332" s="5">
        <v>0</v>
      </c>
      <c r="C332" s="4">
        <v>1</v>
      </c>
      <c r="D332">
        <v>0.4</v>
      </c>
      <c r="E332">
        <v>5</v>
      </c>
    </row>
    <row r="333" spans="1:5" x14ac:dyDescent="0.25">
      <c r="A333" s="2" t="s">
        <v>389</v>
      </c>
      <c r="B333" s="5">
        <v>0</v>
      </c>
      <c r="C333" s="4">
        <v>1</v>
      </c>
      <c r="D333">
        <v>0</v>
      </c>
      <c r="E333">
        <v>1</v>
      </c>
    </row>
    <row r="334" spans="1:5" x14ac:dyDescent="0.25">
      <c r="A334" s="2" t="s">
        <v>363</v>
      </c>
      <c r="B334" s="5">
        <v>0</v>
      </c>
      <c r="C334" s="4">
        <v>0.85714285714285698</v>
      </c>
      <c r="D334">
        <v>0.85714285714285698</v>
      </c>
      <c r="E334">
        <v>7</v>
      </c>
    </row>
    <row r="335" spans="1:5" x14ac:dyDescent="0.25">
      <c r="A335" s="2" t="s">
        <v>390</v>
      </c>
      <c r="B335" s="5">
        <v>0</v>
      </c>
      <c r="C335" s="4">
        <v>0.84615384615384603</v>
      </c>
      <c r="D335">
        <v>0.53846153846153799</v>
      </c>
      <c r="E335">
        <v>13</v>
      </c>
    </row>
    <row r="336" spans="1:5" x14ac:dyDescent="0.25">
      <c r="A336" s="2" t="s">
        <v>347</v>
      </c>
      <c r="B336" s="5">
        <v>0</v>
      </c>
      <c r="C336" s="4">
        <v>0.74752475247524697</v>
      </c>
      <c r="D336">
        <v>0.60396039603960305</v>
      </c>
      <c r="E336">
        <v>202</v>
      </c>
    </row>
    <row r="337" spans="1:5" x14ac:dyDescent="0.25">
      <c r="A337" s="2" t="s">
        <v>124</v>
      </c>
      <c r="B337" s="5">
        <v>0</v>
      </c>
      <c r="C337" s="4">
        <v>0.74725274725274704</v>
      </c>
      <c r="D337">
        <v>0.78021978021978</v>
      </c>
      <c r="E337">
        <v>91</v>
      </c>
    </row>
    <row r="338" spans="1:5" x14ac:dyDescent="0.25">
      <c r="A338" s="2" t="s">
        <v>391</v>
      </c>
      <c r="B338" s="5">
        <v>0</v>
      </c>
      <c r="C338" s="4">
        <v>0.72023809523809501</v>
      </c>
      <c r="D338">
        <v>0.63095238095238004</v>
      </c>
      <c r="E338">
        <v>168</v>
      </c>
    </row>
    <row r="339" spans="1:5" x14ac:dyDescent="0.25">
      <c r="A339" s="2" t="s">
        <v>392</v>
      </c>
      <c r="B339" s="5">
        <v>0</v>
      </c>
      <c r="C339" s="4">
        <v>0.71739130434782605</v>
      </c>
      <c r="D339">
        <v>0.71739130434782605</v>
      </c>
      <c r="E339">
        <v>46</v>
      </c>
    </row>
    <row r="340" spans="1:5" x14ac:dyDescent="0.25">
      <c r="A340" s="2" t="s">
        <v>393</v>
      </c>
      <c r="B340" s="5">
        <v>0</v>
      </c>
      <c r="C340" s="4">
        <v>0.70096463022508004</v>
      </c>
      <c r="D340">
        <v>0.63987138263665599</v>
      </c>
      <c r="E340">
        <v>311</v>
      </c>
    </row>
    <row r="341" spans="1:5" x14ac:dyDescent="0.25">
      <c r="A341" s="2" t="s">
        <v>394</v>
      </c>
      <c r="B341" s="5">
        <v>0</v>
      </c>
      <c r="C341" s="4">
        <v>0.69565217391304301</v>
      </c>
      <c r="D341">
        <v>1</v>
      </c>
      <c r="E341">
        <v>23</v>
      </c>
    </row>
    <row r="342" spans="1:5" x14ac:dyDescent="0.25">
      <c r="A342" s="2" t="s">
        <v>344</v>
      </c>
      <c r="B342" s="5">
        <v>0</v>
      </c>
      <c r="C342" s="4">
        <v>0.69480519480519398</v>
      </c>
      <c r="D342">
        <v>0.65584415584415501</v>
      </c>
      <c r="E342">
        <v>154</v>
      </c>
    </row>
    <row r="343" spans="1:5" x14ac:dyDescent="0.25">
      <c r="A343" s="2" t="s">
        <v>395</v>
      </c>
      <c r="B343" s="5">
        <v>0</v>
      </c>
      <c r="C343" s="4">
        <v>0.62837837837837796</v>
      </c>
      <c r="D343">
        <v>0.63513513513513498</v>
      </c>
      <c r="E343">
        <v>148</v>
      </c>
    </row>
    <row r="344" spans="1:5" x14ac:dyDescent="0.25">
      <c r="A344" s="2" t="s">
        <v>362</v>
      </c>
      <c r="B344" s="5">
        <v>0</v>
      </c>
      <c r="C344" s="4">
        <v>0.625</v>
      </c>
      <c r="D344">
        <v>0.5</v>
      </c>
      <c r="E344">
        <v>8</v>
      </c>
    </row>
    <row r="345" spans="1:5" x14ac:dyDescent="0.25">
      <c r="A345" s="2"/>
      <c r="B345" s="5"/>
      <c r="C345" s="4"/>
    </row>
    <row r="346" spans="1:5" x14ac:dyDescent="0.25">
      <c r="A346" s="2"/>
      <c r="B346" s="5"/>
      <c r="C346" s="4"/>
    </row>
    <row r="347" spans="1:5" x14ac:dyDescent="0.25">
      <c r="A347" s="2" t="s">
        <v>0</v>
      </c>
      <c r="B347" s="5"/>
      <c r="C347" s="4"/>
    </row>
    <row r="348" spans="1:5" x14ac:dyDescent="0.25">
      <c r="A348" s="2" t="s">
        <v>103</v>
      </c>
      <c r="B348" s="5"/>
      <c r="C348" s="4"/>
    </row>
    <row r="349" spans="1:5" x14ac:dyDescent="0.25">
      <c r="A349" s="2" t="s">
        <v>2</v>
      </c>
      <c r="B349" s="5"/>
      <c r="C349" s="4"/>
    </row>
    <row r="350" spans="1:5" x14ac:dyDescent="0.25">
      <c r="A350" s="2" t="s">
        <v>396</v>
      </c>
      <c r="B350" s="5"/>
      <c r="C350" s="4"/>
    </row>
    <row r="351" spans="1:5" x14ac:dyDescent="0.25">
      <c r="A351" s="2" t="s">
        <v>172</v>
      </c>
      <c r="B351" s="5"/>
      <c r="C351" s="4"/>
    </row>
    <row r="352" spans="1:5" x14ac:dyDescent="0.25">
      <c r="A352" s="2" t="s">
        <v>0</v>
      </c>
      <c r="B352" s="5"/>
      <c r="C352" s="4"/>
    </row>
    <row r="353" spans="1:5" x14ac:dyDescent="0.25">
      <c r="A353" s="2"/>
      <c r="B353" s="5"/>
      <c r="C353" s="4"/>
    </row>
    <row r="354" spans="1:5" x14ac:dyDescent="0.25">
      <c r="A354" s="2"/>
      <c r="B354" s="5"/>
      <c r="C354" s="4"/>
    </row>
    <row r="355" spans="1:5" x14ac:dyDescent="0.25">
      <c r="A355" s="2" t="s">
        <v>4</v>
      </c>
      <c r="B355" s="5"/>
      <c r="C355" s="4"/>
    </row>
    <row r="356" spans="1:5" x14ac:dyDescent="0.25">
      <c r="A356" s="2" t="s">
        <v>104</v>
      </c>
      <c r="B356" s="5"/>
      <c r="C356" s="4"/>
    </row>
    <row r="357" spans="1:5" x14ac:dyDescent="0.25">
      <c r="A357" s="2" t="s">
        <v>4</v>
      </c>
      <c r="B357" s="5"/>
      <c r="C357" s="4"/>
    </row>
    <row r="358" spans="1:5" x14ac:dyDescent="0.25">
      <c r="A358" s="2"/>
      <c r="B358" s="5" t="s">
        <v>91</v>
      </c>
      <c r="C358" s="4" t="s">
        <v>91</v>
      </c>
      <c r="D358" t="s">
        <v>91</v>
      </c>
      <c r="E358" t="s">
        <v>91</v>
      </c>
    </row>
    <row r="359" spans="1:5" x14ac:dyDescent="0.25">
      <c r="A359" s="2"/>
      <c r="B359" s="5" t="s">
        <v>94</v>
      </c>
      <c r="C359" s="4" t="s">
        <v>93</v>
      </c>
      <c r="D359" t="s">
        <v>92</v>
      </c>
      <c r="E359" t="s">
        <v>353</v>
      </c>
    </row>
    <row r="360" spans="1:5" x14ac:dyDescent="0.25">
      <c r="A360" s="2" t="s">
        <v>127</v>
      </c>
      <c r="B360" s="5" t="s">
        <v>323</v>
      </c>
      <c r="C360" s="4" t="s">
        <v>325</v>
      </c>
      <c r="D360" t="s">
        <v>327</v>
      </c>
      <c r="E360" t="s">
        <v>332</v>
      </c>
    </row>
    <row r="361" spans="1:5" x14ac:dyDescent="0.25">
      <c r="A361" s="2">
        <v>45352</v>
      </c>
      <c r="B361" s="3">
        <v>0.76454871293580895</v>
      </c>
      <c r="C361" s="3">
        <v>0.60404040404040404</v>
      </c>
      <c r="D361" s="3">
        <v>0.58690127077223797</v>
      </c>
      <c r="E361" s="3">
        <v>15345</v>
      </c>
    </row>
    <row r="362" spans="1:5" x14ac:dyDescent="0.25">
      <c r="A362" s="2">
        <v>45383</v>
      </c>
      <c r="B362" s="23">
        <v>0.72989003665444796</v>
      </c>
      <c r="C362" s="23">
        <v>0.57454181939353499</v>
      </c>
      <c r="D362" s="23">
        <v>0.557547484171942</v>
      </c>
      <c r="E362" s="3">
        <v>15005</v>
      </c>
    </row>
    <row r="363" spans="1:5" x14ac:dyDescent="0.25">
      <c r="A363" s="2">
        <v>45413</v>
      </c>
      <c r="B363" s="23">
        <v>0.77659740665521004</v>
      </c>
      <c r="C363" s="3">
        <v>0.61474769567255105</v>
      </c>
      <c r="D363" s="23">
        <v>0.59193875956881703</v>
      </c>
      <c r="E363" s="3">
        <v>12802</v>
      </c>
    </row>
    <row r="364" spans="1:5" x14ac:dyDescent="0.25">
      <c r="A364" s="2">
        <v>45444</v>
      </c>
      <c r="B364" s="23">
        <v>0.75482000808952399</v>
      </c>
      <c r="C364" s="23">
        <v>0.60893892409329897</v>
      </c>
      <c r="D364" s="23">
        <v>0.58898476472967498</v>
      </c>
      <c r="E364" s="3">
        <v>14834</v>
      </c>
    </row>
    <row r="365" spans="1:5" x14ac:dyDescent="0.25">
      <c r="A365" s="2">
        <v>45474</v>
      </c>
      <c r="B365" s="23">
        <v>0.76230404666423601</v>
      </c>
      <c r="C365" s="23">
        <v>0.61472839956252201</v>
      </c>
      <c r="D365" s="23">
        <v>0.57892818082391495</v>
      </c>
      <c r="E365" s="3">
        <v>13715</v>
      </c>
    </row>
    <row r="366" spans="1:5" x14ac:dyDescent="0.25">
      <c r="A366" s="2">
        <v>45505</v>
      </c>
      <c r="B366" s="23">
        <v>0.74890990809686697</v>
      </c>
      <c r="C366" s="23">
        <v>0.59716911518078697</v>
      </c>
      <c r="D366" s="23">
        <v>0.57878848862950205</v>
      </c>
      <c r="E366" s="3">
        <v>14907</v>
      </c>
    </row>
    <row r="367" spans="1:5" x14ac:dyDescent="0.25">
      <c r="A367" s="2">
        <v>45536</v>
      </c>
      <c r="B367" s="23">
        <v>0.77265432098765396</v>
      </c>
      <c r="C367" s="23">
        <v>0.61592592592592499</v>
      </c>
      <c r="D367" s="23">
        <v>0.59216049382715996</v>
      </c>
      <c r="E367" s="3">
        <v>16200</v>
      </c>
    </row>
    <row r="368" spans="1:5" x14ac:dyDescent="0.25">
      <c r="A368" s="2">
        <v>45566</v>
      </c>
      <c r="B368" s="23">
        <v>0.77277657266811195</v>
      </c>
      <c r="C368" s="23">
        <v>0.61587129428777998</v>
      </c>
      <c r="D368" s="23">
        <v>0.58631597975415695</v>
      </c>
      <c r="E368" s="3">
        <v>11064</v>
      </c>
    </row>
    <row r="369" spans="1:5" x14ac:dyDescent="0.25">
      <c r="A369" s="2">
        <v>45597</v>
      </c>
      <c r="B369" s="23">
        <v>0.76832196108162698</v>
      </c>
      <c r="C369" s="23">
        <v>0.63122314885013897</v>
      </c>
      <c r="D369" s="23">
        <v>0.59571645185746702</v>
      </c>
      <c r="E369" s="3">
        <v>15828</v>
      </c>
    </row>
    <row r="370" spans="1:5" x14ac:dyDescent="0.25">
      <c r="A370" s="2">
        <v>45627</v>
      </c>
      <c r="B370" s="23">
        <v>0.78601092896174796</v>
      </c>
      <c r="C370" s="23">
        <v>0.63464480874316898</v>
      </c>
      <c r="D370" s="23">
        <v>0.60437158469945296</v>
      </c>
      <c r="E370" s="3">
        <v>18300</v>
      </c>
    </row>
    <row r="371" spans="1:5" x14ac:dyDescent="0.25">
      <c r="A371" s="2">
        <v>45658</v>
      </c>
      <c r="B371" s="23">
        <v>0.78888619267168103</v>
      </c>
      <c r="C371" s="3">
        <v>0.63504003882552695</v>
      </c>
      <c r="D371" s="23">
        <v>0.61324112270484499</v>
      </c>
      <c r="E371" s="3">
        <v>24726</v>
      </c>
    </row>
    <row r="372" spans="1:5" x14ac:dyDescent="0.25">
      <c r="A372" s="2">
        <v>45689</v>
      </c>
      <c r="B372" s="23">
        <v>0.78846598529343703</v>
      </c>
      <c r="C372" s="23">
        <v>0.64232530176201197</v>
      </c>
      <c r="D372" s="23">
        <v>0.624982657355593</v>
      </c>
      <c r="E372" s="3">
        <v>21623</v>
      </c>
    </row>
    <row r="373" spans="1:5" x14ac:dyDescent="0.25">
      <c r="A373" s="2"/>
      <c r="B373" s="23"/>
      <c r="C373" s="23"/>
      <c r="D373" s="23"/>
      <c r="E373" s="3"/>
    </row>
    <row r="374" spans="1:5" x14ac:dyDescent="0.25">
      <c r="A374" s="2"/>
      <c r="B374" s="3"/>
      <c r="C374" s="3"/>
      <c r="D374" s="3"/>
      <c r="E374" s="3"/>
    </row>
    <row r="375" spans="1:5" x14ac:dyDescent="0.25">
      <c r="A375" s="2" t="s">
        <v>0</v>
      </c>
      <c r="B375" s="3"/>
      <c r="C375" s="3"/>
      <c r="D375" s="3"/>
      <c r="E375" s="3"/>
    </row>
    <row r="376" spans="1:5" x14ac:dyDescent="0.25">
      <c r="A376" s="2" t="s">
        <v>175</v>
      </c>
      <c r="B376" s="3"/>
      <c r="C376" s="3"/>
      <c r="D376" s="3"/>
      <c r="E376" s="3"/>
    </row>
    <row r="377" spans="1:5" x14ac:dyDescent="0.25">
      <c r="A377" s="2" t="s">
        <v>2</v>
      </c>
      <c r="B377" s="3"/>
      <c r="C377" s="3"/>
      <c r="D377" s="3"/>
      <c r="E377" s="3"/>
    </row>
    <row r="378" spans="1:5" x14ac:dyDescent="0.25">
      <c r="A378" s="2" t="s">
        <v>381</v>
      </c>
      <c r="B378" s="3"/>
      <c r="C378" s="3"/>
      <c r="D378" s="3"/>
      <c r="E378" s="3"/>
    </row>
    <row r="379" spans="1:5" x14ac:dyDescent="0.25">
      <c r="A379" s="2" t="s">
        <v>105</v>
      </c>
      <c r="B379" s="3"/>
      <c r="C379" s="3"/>
      <c r="D379" s="3"/>
      <c r="E379" s="3"/>
    </row>
    <row r="380" spans="1:5" x14ac:dyDescent="0.25">
      <c r="A380" s="2" t="s">
        <v>0</v>
      </c>
      <c r="B380" s="3"/>
      <c r="C380" s="3"/>
      <c r="D380" s="3"/>
      <c r="E380" s="3"/>
    </row>
    <row r="381" spans="1:5" x14ac:dyDescent="0.25">
      <c r="A381" s="2"/>
      <c r="B381" s="5"/>
      <c r="C381" s="4"/>
    </row>
    <row r="382" spans="1:5" x14ac:dyDescent="0.25">
      <c r="A382" s="2"/>
      <c r="B382" s="5"/>
      <c r="C382" s="4"/>
    </row>
    <row r="383" spans="1:5" x14ac:dyDescent="0.25">
      <c r="A383" s="2" t="s">
        <v>4</v>
      </c>
      <c r="B383" s="5"/>
      <c r="C383" s="4"/>
    </row>
    <row r="384" spans="1:5" x14ac:dyDescent="0.25">
      <c r="A384" s="2" t="s">
        <v>176</v>
      </c>
      <c r="B384" s="5"/>
      <c r="C384" s="4"/>
    </row>
    <row r="385" spans="1:3" x14ac:dyDescent="0.25">
      <c r="A385" s="2" t="s">
        <v>4</v>
      </c>
      <c r="B385" s="5"/>
      <c r="C385" s="4"/>
    </row>
    <row r="386" spans="1:3" x14ac:dyDescent="0.25">
      <c r="A386" s="2"/>
      <c r="B386" s="5" t="s">
        <v>106</v>
      </c>
      <c r="C386" s="4"/>
    </row>
    <row r="387" spans="1:3" x14ac:dyDescent="0.25">
      <c r="A387" s="2" t="s">
        <v>354</v>
      </c>
      <c r="B387" s="5">
        <v>2.6562232184574202E-3</v>
      </c>
      <c r="C387" s="4"/>
    </row>
    <row r="388" spans="1:3" x14ac:dyDescent="0.25">
      <c r="A388" s="2" t="s">
        <v>191</v>
      </c>
      <c r="B388" s="3" t="s">
        <v>10</v>
      </c>
      <c r="C388" s="4" t="s">
        <v>192</v>
      </c>
    </row>
    <row r="389" spans="1:3" x14ac:dyDescent="0.25">
      <c r="A389" s="2" t="s">
        <v>128</v>
      </c>
      <c r="B389" s="3">
        <v>7.7929753461668305E-2</v>
      </c>
      <c r="C389" s="4" t="s">
        <v>333</v>
      </c>
    </row>
    <row r="390" spans="1:3" x14ac:dyDescent="0.25">
      <c r="A390" s="2" t="s">
        <v>129</v>
      </c>
      <c r="B390" s="3">
        <v>5.0851082444662597E-2</v>
      </c>
      <c r="C390" s="4" t="s">
        <v>334</v>
      </c>
    </row>
    <row r="391" spans="1:3" x14ac:dyDescent="0.25">
      <c r="A391" s="2" t="s">
        <v>130</v>
      </c>
      <c r="B391" s="3">
        <v>4.9268706634053798E-2</v>
      </c>
      <c r="C391" s="4" t="s">
        <v>335</v>
      </c>
    </row>
    <row r="392" spans="1:3" x14ac:dyDescent="0.25">
      <c r="A392" s="2" t="s">
        <v>177</v>
      </c>
      <c r="B392" s="3">
        <v>4.1477272727272703E-2</v>
      </c>
      <c r="C392" s="4" t="s">
        <v>376</v>
      </c>
    </row>
    <row r="393" spans="1:3" x14ac:dyDescent="0.25">
      <c r="A393" s="2"/>
      <c r="B393" s="3"/>
      <c r="C393" s="4"/>
    </row>
    <row r="394" spans="1:3" x14ac:dyDescent="0.25">
      <c r="A394" s="2"/>
      <c r="B394" s="3"/>
      <c r="C394" s="4"/>
    </row>
    <row r="395" spans="1:3" x14ac:dyDescent="0.25">
      <c r="A395" s="2" t="s">
        <v>4</v>
      </c>
      <c r="B395" s="3"/>
    </row>
    <row r="396" spans="1:3" x14ac:dyDescent="0.25">
      <c r="A396" s="2" t="s">
        <v>178</v>
      </c>
      <c r="B396" s="3"/>
      <c r="C396" s="4"/>
    </row>
    <row r="397" spans="1:3" x14ac:dyDescent="0.25">
      <c r="A397" s="2" t="s">
        <v>4</v>
      </c>
      <c r="B397" s="3"/>
      <c r="C397" s="4"/>
    </row>
    <row r="398" spans="1:3" x14ac:dyDescent="0.25">
      <c r="A398" s="2"/>
      <c r="B398" s="3" t="s">
        <v>107</v>
      </c>
      <c r="C398" s="4"/>
    </row>
    <row r="399" spans="1:3" x14ac:dyDescent="0.25">
      <c r="A399" s="2" t="s">
        <v>354</v>
      </c>
      <c r="B399" s="3">
        <v>9.4049034453826802E-4</v>
      </c>
      <c r="C399" s="4"/>
    </row>
    <row r="400" spans="1:3" x14ac:dyDescent="0.25">
      <c r="A400" s="2" t="s">
        <v>191</v>
      </c>
      <c r="B400" s="3" t="s">
        <v>10</v>
      </c>
      <c r="C400" s="4" t="s">
        <v>192</v>
      </c>
    </row>
    <row r="401" spans="1:3" x14ac:dyDescent="0.25">
      <c r="A401" s="2" t="s">
        <v>131</v>
      </c>
      <c r="B401" s="3">
        <v>1.3533057851239601E-2</v>
      </c>
      <c r="C401" s="4" t="s">
        <v>336</v>
      </c>
    </row>
    <row r="402" spans="1:3" x14ac:dyDescent="0.25">
      <c r="A402" s="2" t="s">
        <v>129</v>
      </c>
      <c r="B402" s="3">
        <v>1.3483167912587799E-2</v>
      </c>
      <c r="C402" s="4" t="s">
        <v>334</v>
      </c>
    </row>
    <row r="403" spans="1:3" x14ac:dyDescent="0.25">
      <c r="A403" s="2" t="s">
        <v>128</v>
      </c>
      <c r="B403" s="3">
        <v>1.1567038162782799E-2</v>
      </c>
      <c r="C403" s="4" t="s">
        <v>333</v>
      </c>
    </row>
    <row r="404" spans="1:3" x14ac:dyDescent="0.25">
      <c r="A404" s="2" t="s">
        <v>349</v>
      </c>
      <c r="B404" s="3">
        <v>1.0023866348448599E-2</v>
      </c>
      <c r="C404" s="4" t="s">
        <v>350</v>
      </c>
    </row>
    <row r="405" spans="1:3" x14ac:dyDescent="0.25">
      <c r="A405" s="2"/>
      <c r="B405" s="3"/>
      <c r="C405" s="4"/>
    </row>
    <row r="406" spans="1:3" x14ac:dyDescent="0.25">
      <c r="A406" s="2"/>
      <c r="B406" s="3"/>
      <c r="C406" s="4"/>
    </row>
    <row r="407" spans="1:3" x14ac:dyDescent="0.25">
      <c r="A407" s="2" t="s">
        <v>0</v>
      </c>
      <c r="B407" s="3"/>
      <c r="C407" s="4"/>
    </row>
    <row r="408" spans="1:3" x14ac:dyDescent="0.25">
      <c r="A408" s="2" t="s">
        <v>179</v>
      </c>
      <c r="B408" s="3"/>
      <c r="C408" s="4"/>
    </row>
    <row r="409" spans="1:3" x14ac:dyDescent="0.25">
      <c r="A409" s="2" t="s">
        <v>2</v>
      </c>
      <c r="B409" s="3"/>
      <c r="C409" s="4"/>
    </row>
    <row r="410" spans="1:3" x14ac:dyDescent="0.25">
      <c r="A410" s="2" t="s">
        <v>381</v>
      </c>
      <c r="B410" s="3"/>
      <c r="C410" s="4"/>
    </row>
    <row r="411" spans="1:3" x14ac:dyDescent="0.25">
      <c r="A411" s="2" t="s">
        <v>0</v>
      </c>
      <c r="B411" s="3"/>
      <c r="C411" s="4"/>
    </row>
    <row r="412" spans="1:3" x14ac:dyDescent="0.25">
      <c r="B412" s="3"/>
      <c r="C412" s="4"/>
    </row>
    <row r="413" spans="1:3" x14ac:dyDescent="0.25">
      <c r="B413" s="5"/>
      <c r="C413" s="4"/>
    </row>
    <row r="414" spans="1:3" x14ac:dyDescent="0.25">
      <c r="A414" t="s">
        <v>4</v>
      </c>
      <c r="B414" s="5"/>
      <c r="C414" s="4"/>
    </row>
    <row r="415" spans="1:3" x14ac:dyDescent="0.25">
      <c r="A415" t="s">
        <v>108</v>
      </c>
      <c r="B415" s="5"/>
      <c r="C415" s="4"/>
    </row>
    <row r="416" spans="1:3" x14ac:dyDescent="0.25">
      <c r="A416" t="s">
        <v>4</v>
      </c>
      <c r="B416" s="5"/>
      <c r="C416" s="4"/>
    </row>
    <row r="417" spans="1:3" x14ac:dyDescent="0.25">
      <c r="B417" s="5" t="s">
        <v>109</v>
      </c>
      <c r="C417" s="4"/>
    </row>
    <row r="418" spans="1:3" x14ac:dyDescent="0.25">
      <c r="B418" s="5" t="s">
        <v>110</v>
      </c>
      <c r="C418" s="4"/>
    </row>
    <row r="419" spans="1:3" x14ac:dyDescent="0.25">
      <c r="B419" s="5" t="s">
        <v>10</v>
      </c>
      <c r="C419" s="4"/>
    </row>
    <row r="420" spans="1:3" x14ac:dyDescent="0.25">
      <c r="A420" t="s">
        <v>354</v>
      </c>
      <c r="B420" s="5">
        <v>488156</v>
      </c>
      <c r="C420" s="4"/>
    </row>
    <row r="421" spans="1:3" x14ac:dyDescent="0.25">
      <c r="A421" t="s">
        <v>191</v>
      </c>
      <c r="B421" s="5" t="s">
        <v>10</v>
      </c>
      <c r="C421" s="4" t="s">
        <v>337</v>
      </c>
    </row>
    <row r="422" spans="1:3" x14ac:dyDescent="0.25">
      <c r="A422" t="s">
        <v>397</v>
      </c>
      <c r="B422" s="5">
        <v>113035</v>
      </c>
      <c r="C422" s="4" t="s">
        <v>408</v>
      </c>
    </row>
    <row r="423" spans="1:3" x14ac:dyDescent="0.25">
      <c r="A423" t="s">
        <v>180</v>
      </c>
      <c r="B423" s="5">
        <v>93246</v>
      </c>
      <c r="C423" s="4" t="s">
        <v>338</v>
      </c>
    </row>
    <row r="424" spans="1:3" x14ac:dyDescent="0.25">
      <c r="A424" t="s">
        <v>398</v>
      </c>
      <c r="B424" s="5">
        <v>16832</v>
      </c>
      <c r="C424" s="4" t="s">
        <v>409</v>
      </c>
    </row>
    <row r="425" spans="1:3" x14ac:dyDescent="0.25">
      <c r="A425" t="s">
        <v>399</v>
      </c>
      <c r="B425" s="5">
        <v>14145</v>
      </c>
      <c r="C425" s="4" t="s">
        <v>410</v>
      </c>
    </row>
    <row r="426" spans="1:3" x14ac:dyDescent="0.25">
      <c r="B426" s="5"/>
      <c r="C426" s="4"/>
    </row>
    <row r="427" spans="1:3" x14ac:dyDescent="0.25">
      <c r="B427" s="5"/>
      <c r="C427" s="4"/>
    </row>
    <row r="428" spans="1:3" x14ac:dyDescent="0.25">
      <c r="A428" t="s">
        <v>4</v>
      </c>
      <c r="B428" s="5"/>
      <c r="C428" s="4"/>
    </row>
    <row r="429" spans="1:3" x14ac:dyDescent="0.25">
      <c r="A429" t="s">
        <v>111</v>
      </c>
      <c r="B429" s="5"/>
      <c r="C429" s="4"/>
    </row>
    <row r="430" spans="1:3" x14ac:dyDescent="0.25">
      <c r="A430" t="s">
        <v>4</v>
      </c>
      <c r="B430" s="5"/>
      <c r="C430" s="4"/>
    </row>
    <row r="431" spans="1:3" x14ac:dyDescent="0.25">
      <c r="B431" s="5" t="s">
        <v>112</v>
      </c>
      <c r="C431" s="4"/>
    </row>
    <row r="432" spans="1:3" x14ac:dyDescent="0.25">
      <c r="B432" s="5" t="s">
        <v>10</v>
      </c>
      <c r="C432" s="4"/>
    </row>
    <row r="433" spans="1:3" x14ac:dyDescent="0.25">
      <c r="A433" t="s">
        <v>354</v>
      </c>
      <c r="B433" s="5">
        <v>229323</v>
      </c>
      <c r="C433" s="4"/>
    </row>
    <row r="434" spans="1:3" x14ac:dyDescent="0.25">
      <c r="A434" t="s">
        <v>191</v>
      </c>
      <c r="B434" s="5" t="s">
        <v>10</v>
      </c>
      <c r="C434" s="4" t="s">
        <v>339</v>
      </c>
    </row>
    <row r="435" spans="1:3" x14ac:dyDescent="0.25">
      <c r="A435" t="s">
        <v>400</v>
      </c>
      <c r="B435" s="5">
        <v>62592</v>
      </c>
      <c r="C435" s="4" t="s">
        <v>411</v>
      </c>
    </row>
    <row r="436" spans="1:3" x14ac:dyDescent="0.25">
      <c r="A436" t="s">
        <v>345</v>
      </c>
      <c r="B436" s="5">
        <v>31929</v>
      </c>
      <c r="C436" s="4" t="s">
        <v>346</v>
      </c>
    </row>
    <row r="437" spans="1:3" x14ac:dyDescent="0.25">
      <c r="A437" t="s">
        <v>364</v>
      </c>
      <c r="B437" s="5">
        <v>15355</v>
      </c>
      <c r="C437" s="4" t="s">
        <v>373</v>
      </c>
    </row>
    <row r="438" spans="1:3" x14ac:dyDescent="0.25">
      <c r="A438" t="s">
        <v>365</v>
      </c>
      <c r="B438" s="5">
        <v>10059</v>
      </c>
      <c r="C438" s="4" t="s">
        <v>374</v>
      </c>
    </row>
    <row r="439" spans="1:3" x14ac:dyDescent="0.25">
      <c r="B439" s="5"/>
      <c r="C439" s="4"/>
    </row>
    <row r="440" spans="1:3" x14ac:dyDescent="0.25">
      <c r="B440" s="5"/>
      <c r="C440" s="4"/>
    </row>
    <row r="441" spans="1:3" x14ac:dyDescent="0.25">
      <c r="A441" t="s">
        <v>0</v>
      </c>
      <c r="B441" s="5"/>
      <c r="C441" s="4"/>
    </row>
    <row r="442" spans="1:3" x14ac:dyDescent="0.25">
      <c r="A442" t="s">
        <v>181</v>
      </c>
      <c r="B442" s="5"/>
      <c r="C442" s="4"/>
    </row>
    <row r="443" spans="1:3" x14ac:dyDescent="0.25">
      <c r="A443" t="s">
        <v>2</v>
      </c>
      <c r="B443" s="5"/>
      <c r="C443" s="4"/>
    </row>
    <row r="444" spans="1:3" x14ac:dyDescent="0.25">
      <c r="A444" t="s">
        <v>381</v>
      </c>
      <c r="B444" s="5"/>
      <c r="C444" s="4"/>
    </row>
    <row r="445" spans="1:3" x14ac:dyDescent="0.25">
      <c r="A445" t="s">
        <v>0</v>
      </c>
      <c r="B445" s="5"/>
      <c r="C445" s="4"/>
    </row>
    <row r="446" spans="1:3" x14ac:dyDescent="0.25">
      <c r="B446" s="5"/>
      <c r="C446" s="4"/>
    </row>
    <row r="447" spans="1:3" x14ac:dyDescent="0.25">
      <c r="B447" s="5"/>
      <c r="C447" s="4"/>
    </row>
    <row r="448" spans="1:3" x14ac:dyDescent="0.25">
      <c r="A448" t="s">
        <v>4</v>
      </c>
      <c r="B448" s="5"/>
      <c r="C448" s="4"/>
    </row>
    <row r="449" spans="1:3" x14ac:dyDescent="0.25">
      <c r="A449" t="s">
        <v>125</v>
      </c>
      <c r="B449" s="5"/>
      <c r="C449" s="4"/>
    </row>
    <row r="450" spans="1:3" x14ac:dyDescent="0.25">
      <c r="A450" t="s">
        <v>4</v>
      </c>
      <c r="B450" s="5"/>
      <c r="C450" s="4"/>
    </row>
    <row r="451" spans="1:3" x14ac:dyDescent="0.25">
      <c r="B451" s="5" t="s">
        <v>113</v>
      </c>
      <c r="C451" s="4"/>
    </row>
    <row r="452" spans="1:3" x14ac:dyDescent="0.25">
      <c r="B452" s="5" t="s">
        <v>10</v>
      </c>
      <c r="C452" s="4"/>
    </row>
    <row r="453" spans="1:3" x14ac:dyDescent="0.25">
      <c r="A453" t="s">
        <v>191</v>
      </c>
      <c r="B453" s="5" t="s">
        <v>10</v>
      </c>
      <c r="C453" s="4" t="s">
        <v>340</v>
      </c>
    </row>
    <row r="454" spans="1:3" x14ac:dyDescent="0.25">
      <c r="A454" t="s">
        <v>377</v>
      </c>
      <c r="B454" s="5">
        <v>65655</v>
      </c>
      <c r="C454" s="4" t="s">
        <v>379</v>
      </c>
    </row>
    <row r="455" spans="1:3" x14ac:dyDescent="0.25">
      <c r="A455" t="s">
        <v>182</v>
      </c>
      <c r="B455" s="5">
        <v>38595</v>
      </c>
      <c r="C455" s="4" t="s">
        <v>380</v>
      </c>
    </row>
    <row r="456" spans="1:3" x14ac:dyDescent="0.25">
      <c r="A456" t="s">
        <v>183</v>
      </c>
      <c r="B456" s="5">
        <v>23456</v>
      </c>
      <c r="C456" s="4" t="s">
        <v>412</v>
      </c>
    </row>
    <row r="457" spans="1:3" x14ac:dyDescent="0.25">
      <c r="A457" t="s">
        <v>367</v>
      </c>
      <c r="B457" s="5">
        <v>13964</v>
      </c>
      <c r="C457" s="4" t="s">
        <v>418</v>
      </c>
    </row>
    <row r="458" spans="1:3" x14ac:dyDescent="0.25">
      <c r="A458" t="s">
        <v>366</v>
      </c>
      <c r="B458" s="5">
        <v>8232</v>
      </c>
      <c r="C458" s="4" t="s">
        <v>419</v>
      </c>
    </row>
    <row r="459" spans="1:3" x14ac:dyDescent="0.25">
      <c r="B459" s="5"/>
      <c r="C459" s="4"/>
    </row>
    <row r="460" spans="1:3" x14ac:dyDescent="0.25">
      <c r="B460" s="5"/>
      <c r="C460" s="4"/>
    </row>
    <row r="461" spans="1:3" x14ac:dyDescent="0.25">
      <c r="A461" t="s">
        <v>4</v>
      </c>
      <c r="B461" s="5"/>
      <c r="C461" s="4"/>
    </row>
    <row r="462" spans="1:3" x14ac:dyDescent="0.25">
      <c r="A462" t="s">
        <v>9</v>
      </c>
      <c r="B462" s="5"/>
      <c r="C462" s="4"/>
    </row>
    <row r="463" spans="1:3" x14ac:dyDescent="0.25">
      <c r="A463" s="5" t="s">
        <v>4</v>
      </c>
      <c r="B463" s="5"/>
      <c r="C463" s="4"/>
    </row>
    <row r="464" spans="1:3" x14ac:dyDescent="0.25">
      <c r="A464" s="5"/>
      <c r="B464" s="5" t="s">
        <v>114</v>
      </c>
      <c r="C464" s="4" t="s">
        <v>114</v>
      </c>
    </row>
    <row r="465" spans="1:3" x14ac:dyDescent="0.25">
      <c r="A465" s="5"/>
      <c r="B465" s="5" t="s">
        <v>114</v>
      </c>
      <c r="C465" s="4" t="s">
        <v>6</v>
      </c>
    </row>
    <row r="466" spans="1:3" x14ac:dyDescent="0.25">
      <c r="A466" s="5" t="s">
        <v>7</v>
      </c>
      <c r="B466" s="5" t="s">
        <v>341</v>
      </c>
      <c r="C466" s="4" t="s">
        <v>6</v>
      </c>
    </row>
    <row r="467" spans="1:3" x14ac:dyDescent="0.25">
      <c r="A467" s="2">
        <v>45689</v>
      </c>
      <c r="B467" s="5">
        <v>6.1950238753455599E-3</v>
      </c>
      <c r="C467" s="4">
        <v>6.8701264076818499E-3</v>
      </c>
    </row>
    <row r="468" spans="1:3" x14ac:dyDescent="0.25">
      <c r="A468" s="2">
        <v>45690</v>
      </c>
      <c r="B468" s="5">
        <v>6.9517228586003796E-3</v>
      </c>
      <c r="C468" s="4">
        <v>5.6644654118103198E-3</v>
      </c>
    </row>
    <row r="469" spans="1:3" x14ac:dyDescent="0.25">
      <c r="A469" s="2">
        <v>45691</v>
      </c>
      <c r="B469" s="5">
        <v>5.6892336735549498E-3</v>
      </c>
      <c r="C469" s="4">
        <v>5.5151488597279096E-3</v>
      </c>
    </row>
    <row r="470" spans="1:3" x14ac:dyDescent="0.25">
      <c r="A470" s="2">
        <v>45692</v>
      </c>
      <c r="B470" s="5">
        <v>6.1556095423451699E-3</v>
      </c>
      <c r="C470" s="4">
        <v>6.4975660103870998E-3</v>
      </c>
    </row>
    <row r="471" spans="1:3" x14ac:dyDescent="0.25">
      <c r="A471" s="2">
        <v>45693</v>
      </c>
      <c r="B471" s="5">
        <v>5.52029667239105E-3</v>
      </c>
      <c r="C471" s="4">
        <v>6.86440216866666E-3</v>
      </c>
    </row>
    <row r="472" spans="1:3" x14ac:dyDescent="0.25">
      <c r="A472" s="2">
        <v>45694</v>
      </c>
      <c r="B472" s="5">
        <v>5.2500181577130097E-3</v>
      </c>
      <c r="C472" s="4">
        <v>5.8710621868214002E-3</v>
      </c>
    </row>
    <row r="473" spans="1:3" x14ac:dyDescent="0.25">
      <c r="A473" s="2">
        <v>45695</v>
      </c>
      <c r="B473" s="5">
        <v>5.5253501986842696E-3</v>
      </c>
      <c r="C473" s="4">
        <v>5.7150088639000502E-3</v>
      </c>
    </row>
    <row r="474" spans="1:3" x14ac:dyDescent="0.25">
      <c r="A474" s="2">
        <v>45696</v>
      </c>
      <c r="B474" s="5">
        <v>6.5582780872763301E-3</v>
      </c>
      <c r="C474" s="4">
        <v>5.1996724092058001E-3</v>
      </c>
    </row>
    <row r="475" spans="1:3" x14ac:dyDescent="0.25">
      <c r="A475" s="2">
        <v>45697</v>
      </c>
      <c r="B475" s="5">
        <v>7.1856080561721004E-3</v>
      </c>
      <c r="C475" s="4">
        <v>5.2199842541812199E-3</v>
      </c>
    </row>
    <row r="476" spans="1:3" x14ac:dyDescent="0.25">
      <c r="A476" s="2">
        <v>45698</v>
      </c>
      <c r="B476" s="5">
        <v>6.1017049148336701E-3</v>
      </c>
      <c r="C476" s="4">
        <v>5.5642353635882696E-3</v>
      </c>
    </row>
    <row r="477" spans="1:3" x14ac:dyDescent="0.25">
      <c r="A477" s="2">
        <v>45699</v>
      </c>
      <c r="B477" s="5">
        <v>5.5249479844459801E-3</v>
      </c>
      <c r="C477" s="4">
        <v>7.2161614194450304E-3</v>
      </c>
    </row>
    <row r="478" spans="1:3" x14ac:dyDescent="0.25">
      <c r="A478" s="2">
        <v>45700</v>
      </c>
      <c r="B478" s="5">
        <v>5.0793998638188603E-3</v>
      </c>
      <c r="C478" s="4">
        <v>7.5145565158359203E-3</v>
      </c>
    </row>
    <row r="479" spans="1:3" x14ac:dyDescent="0.25">
      <c r="A479" s="2">
        <v>45701</v>
      </c>
      <c r="B479" s="5">
        <v>5.1396688878872403E-3</v>
      </c>
      <c r="C479" s="4">
        <v>5.3011823148644303E-3</v>
      </c>
    </row>
    <row r="480" spans="1:3" x14ac:dyDescent="0.25">
      <c r="A480" s="2">
        <v>45702</v>
      </c>
      <c r="B480" s="5">
        <v>4.8232660401471804E-3</v>
      </c>
      <c r="C480" s="4">
        <v>4.5929923276462397E-3</v>
      </c>
    </row>
    <row r="481" spans="1:3" x14ac:dyDescent="0.25">
      <c r="A481" s="2">
        <v>45703</v>
      </c>
      <c r="B481" s="5">
        <v>6.5306326260561902E-3</v>
      </c>
      <c r="C481" s="4">
        <v>5.0920185635476099E-3</v>
      </c>
    </row>
    <row r="482" spans="1:3" x14ac:dyDescent="0.25">
      <c r="A482" s="2">
        <v>45704</v>
      </c>
      <c r="B482" s="5">
        <v>7.54278113442583E-3</v>
      </c>
      <c r="C482" s="4">
        <v>4.9190549148251496E-3</v>
      </c>
    </row>
    <row r="483" spans="1:3" x14ac:dyDescent="0.25">
      <c r="A483" s="2">
        <v>45705</v>
      </c>
      <c r="B483" s="5">
        <v>6.80823451893904E-3</v>
      </c>
      <c r="C483" s="4">
        <v>5.4127698028303998E-3</v>
      </c>
    </row>
    <row r="484" spans="1:3" x14ac:dyDescent="0.25">
      <c r="A484" s="2">
        <v>45706</v>
      </c>
      <c r="B484" s="5">
        <v>5.8098646369183502E-3</v>
      </c>
      <c r="C484" s="4">
        <v>6.1416089744086699E-3</v>
      </c>
    </row>
    <row r="485" spans="1:3" x14ac:dyDescent="0.25">
      <c r="A485" s="2">
        <v>45707</v>
      </c>
      <c r="B485" s="5">
        <v>6.0950685354576699E-3</v>
      </c>
      <c r="C485" s="4">
        <v>6.8605499269036099E-3</v>
      </c>
    </row>
    <row r="486" spans="1:3" x14ac:dyDescent="0.25">
      <c r="A486" s="2">
        <v>45708</v>
      </c>
      <c r="B486" s="5">
        <v>6.3542468392923396E-3</v>
      </c>
      <c r="C486" s="4">
        <v>5.5868371569043999E-3</v>
      </c>
    </row>
    <row r="487" spans="1:3" x14ac:dyDescent="0.25">
      <c r="A487" s="2">
        <v>45709</v>
      </c>
      <c r="B487" s="5">
        <v>7.0108474103200303E-3</v>
      </c>
      <c r="C487" s="4">
        <v>4.4770306035967098E-3</v>
      </c>
    </row>
    <row r="488" spans="1:3" x14ac:dyDescent="0.25">
      <c r="A488" s="2">
        <v>45710</v>
      </c>
      <c r="B488" s="5">
        <v>8.5616296298754394E-3</v>
      </c>
      <c r="C488" s="4">
        <v>4.8957338036232203E-3</v>
      </c>
    </row>
    <row r="489" spans="1:3" x14ac:dyDescent="0.25">
      <c r="A489" s="2">
        <v>45711</v>
      </c>
      <c r="B489" s="5">
        <v>9.3124795489024897E-3</v>
      </c>
      <c r="C489" s="4">
        <v>4.8241985152064001E-3</v>
      </c>
    </row>
    <row r="490" spans="1:3" x14ac:dyDescent="0.25">
      <c r="A490" s="2">
        <v>45712</v>
      </c>
      <c r="B490" s="5">
        <v>7.5647826358738197E-3</v>
      </c>
      <c r="C490" s="4">
        <v>5.6109069491939098E-3</v>
      </c>
    </row>
    <row r="491" spans="1:3" x14ac:dyDescent="0.25">
      <c r="A491" s="2">
        <v>45713</v>
      </c>
      <c r="B491" s="5">
        <v>8.4595750323200793E-3</v>
      </c>
      <c r="C491" s="4">
        <v>6.8723807251196804E-3</v>
      </c>
    </row>
    <row r="492" spans="1:3" x14ac:dyDescent="0.25">
      <c r="A492" s="2">
        <v>45714</v>
      </c>
      <c r="B492" s="5">
        <v>7.0182403578439899E-3</v>
      </c>
      <c r="C492" s="4">
        <v>7.3480951176163696E-3</v>
      </c>
    </row>
    <row r="493" spans="1:3" x14ac:dyDescent="0.25">
      <c r="A493" s="2">
        <v>45715</v>
      </c>
      <c r="B493" s="5">
        <v>2.0912691872512702E-2</v>
      </c>
      <c r="C493" s="4">
        <v>5.6831274213589899E-3</v>
      </c>
    </row>
    <row r="494" spans="1:3" x14ac:dyDescent="0.25">
      <c r="A494" s="2">
        <v>45716</v>
      </c>
      <c r="B494" s="5">
        <v>1.27940216163464E-2</v>
      </c>
      <c r="C494" s="4">
        <v>5.3546559347613099E-3</v>
      </c>
    </row>
    <row r="495" spans="1:3" x14ac:dyDescent="0.25">
      <c r="A495" s="2"/>
      <c r="B495" s="5"/>
      <c r="C495" s="4"/>
    </row>
    <row r="496" spans="1:3" x14ac:dyDescent="0.25">
      <c r="A496" s="2"/>
      <c r="B496" s="5"/>
      <c r="C496" s="4"/>
    </row>
    <row r="497" spans="1:3" x14ac:dyDescent="0.25">
      <c r="A497" s="2" t="s">
        <v>0</v>
      </c>
      <c r="B497" s="5"/>
      <c r="C497" s="4"/>
    </row>
    <row r="498" spans="1:3" x14ac:dyDescent="0.25">
      <c r="A498" s="2" t="s">
        <v>184</v>
      </c>
      <c r="B498" s="5"/>
      <c r="C498" s="4"/>
    </row>
    <row r="499" spans="1:3" x14ac:dyDescent="0.25">
      <c r="A499" s="2" t="s">
        <v>2</v>
      </c>
      <c r="B499" s="5"/>
      <c r="C499" s="4"/>
    </row>
    <row r="500" spans="1:3" x14ac:dyDescent="0.25">
      <c r="A500" s="2" t="s">
        <v>381</v>
      </c>
      <c r="B500" s="5"/>
      <c r="C500" s="4"/>
    </row>
    <row r="501" spans="1:3" x14ac:dyDescent="0.25">
      <c r="A501" s="2" t="s">
        <v>0</v>
      </c>
      <c r="B501" s="5"/>
      <c r="C501" s="4"/>
    </row>
    <row r="502" spans="1:3" x14ac:dyDescent="0.25">
      <c r="A502" s="2"/>
      <c r="B502" s="5"/>
      <c r="C502" s="4"/>
    </row>
    <row r="503" spans="1:3" x14ac:dyDescent="0.25">
      <c r="A503" s="2"/>
      <c r="B503" s="5"/>
      <c r="C503" s="4"/>
    </row>
    <row r="504" spans="1:3" x14ac:dyDescent="0.25">
      <c r="A504" s="2" t="s">
        <v>4</v>
      </c>
      <c r="B504" s="5"/>
      <c r="C504" s="4"/>
    </row>
    <row r="505" spans="1:3" x14ac:dyDescent="0.25">
      <c r="A505" s="2" t="s">
        <v>115</v>
      </c>
      <c r="B505" s="5"/>
      <c r="C505" s="4"/>
    </row>
    <row r="506" spans="1:3" x14ac:dyDescent="0.25">
      <c r="A506" s="2" t="s">
        <v>4</v>
      </c>
      <c r="B506" s="5"/>
      <c r="C506" s="4"/>
    </row>
    <row r="507" spans="1:3" x14ac:dyDescent="0.25">
      <c r="A507" s="2"/>
      <c r="B507" s="5" t="s">
        <v>116</v>
      </c>
      <c r="C507" s="4"/>
    </row>
    <row r="508" spans="1:3" x14ac:dyDescent="0.25">
      <c r="A508" s="2"/>
      <c r="B508" s="5" t="s">
        <v>10</v>
      </c>
      <c r="C508" s="4"/>
    </row>
    <row r="509" spans="1:3" x14ac:dyDescent="0.25">
      <c r="A509" s="5" t="s">
        <v>354</v>
      </c>
      <c r="B509" s="5">
        <v>701735</v>
      </c>
      <c r="C509" s="4"/>
    </row>
    <row r="510" spans="1:3" x14ac:dyDescent="0.25">
      <c r="A510" s="5" t="s">
        <v>401</v>
      </c>
      <c r="B510" s="5">
        <v>241472</v>
      </c>
      <c r="C510" s="4"/>
    </row>
    <row r="511" spans="1:3" x14ac:dyDescent="0.25">
      <c r="A511" s="5" t="s">
        <v>402</v>
      </c>
      <c r="B511" s="5">
        <v>112138</v>
      </c>
      <c r="C511" s="4"/>
    </row>
    <row r="512" spans="1:3" x14ac:dyDescent="0.25">
      <c r="A512" s="5" t="s">
        <v>191</v>
      </c>
      <c r="B512" s="5" t="s">
        <v>10</v>
      </c>
      <c r="C512" s="4" t="s">
        <v>342</v>
      </c>
    </row>
    <row r="513" spans="1:3" x14ac:dyDescent="0.25">
      <c r="A513" s="5" t="s">
        <v>403</v>
      </c>
      <c r="B513" s="5">
        <v>56958</v>
      </c>
      <c r="C513" s="4" t="s">
        <v>413</v>
      </c>
    </row>
    <row r="514" spans="1:3" x14ac:dyDescent="0.25">
      <c r="A514" s="5" t="s">
        <v>356</v>
      </c>
      <c r="B514" s="4">
        <v>28515</v>
      </c>
      <c r="C514" s="4" t="s">
        <v>369</v>
      </c>
    </row>
    <row r="515" spans="1:3" x14ac:dyDescent="0.25">
      <c r="A515" s="5"/>
      <c r="B515" s="4"/>
      <c r="C515" s="4"/>
    </row>
    <row r="516" spans="1:3" x14ac:dyDescent="0.25">
      <c r="A516" s="5"/>
      <c r="B516" s="4"/>
      <c r="C516" s="4"/>
    </row>
    <row r="517" spans="1:3" x14ac:dyDescent="0.25">
      <c r="A517" s="5" t="s">
        <v>4</v>
      </c>
      <c r="B517" s="4"/>
      <c r="C517" s="4" t="s">
        <v>414</v>
      </c>
    </row>
    <row r="518" spans="1:3" x14ac:dyDescent="0.25">
      <c r="A518" s="5" t="s">
        <v>117</v>
      </c>
      <c r="B518" s="4"/>
      <c r="C518" s="4" t="s">
        <v>414</v>
      </c>
    </row>
    <row r="519" spans="1:3" x14ac:dyDescent="0.25">
      <c r="A519" s="5" t="s">
        <v>4</v>
      </c>
      <c r="B519" s="4"/>
      <c r="C519" s="4"/>
    </row>
    <row r="520" spans="1:3" x14ac:dyDescent="0.25">
      <c r="A520" s="5"/>
      <c r="B520" s="4" t="s">
        <v>10</v>
      </c>
      <c r="C520" s="4"/>
    </row>
    <row r="521" spans="1:3" x14ac:dyDescent="0.25">
      <c r="A521" s="5" t="s">
        <v>404</v>
      </c>
      <c r="B521" s="4">
        <v>651647</v>
      </c>
      <c r="C521" s="4"/>
    </row>
    <row r="522" spans="1:3" x14ac:dyDescent="0.25">
      <c r="A522" s="5" t="s">
        <v>405</v>
      </c>
      <c r="B522" s="4">
        <v>341685</v>
      </c>
      <c r="C522" s="4"/>
    </row>
    <row r="523" spans="1:3" x14ac:dyDescent="0.25">
      <c r="A523" s="5" t="s">
        <v>378</v>
      </c>
      <c r="B523" s="4">
        <v>122366</v>
      </c>
      <c r="C523" s="4"/>
    </row>
    <row r="524" spans="1:3" x14ac:dyDescent="0.25">
      <c r="A524" s="5" t="s">
        <v>343</v>
      </c>
      <c r="B524" s="4" t="s">
        <v>10</v>
      </c>
      <c r="C524" s="4"/>
    </row>
    <row r="525" spans="1:3" x14ac:dyDescent="0.25">
      <c r="A525" s="5" t="s">
        <v>406</v>
      </c>
      <c r="B525" s="4">
        <v>63017</v>
      </c>
      <c r="C525" s="4"/>
    </row>
    <row r="526" spans="1:3" x14ac:dyDescent="0.25">
      <c r="A526" s="5"/>
      <c r="B526" s="4"/>
      <c r="C526" s="4"/>
    </row>
    <row r="527" spans="1:3" x14ac:dyDescent="0.25">
      <c r="A527" s="5"/>
      <c r="B527" s="4"/>
      <c r="C527" s="4"/>
    </row>
    <row r="528" spans="1:3" x14ac:dyDescent="0.25">
      <c r="A528" s="5" t="s">
        <v>132</v>
      </c>
      <c r="B528" s="4">
        <v>1623</v>
      </c>
      <c r="C528" s="4"/>
    </row>
    <row r="529" spans="1:3" x14ac:dyDescent="0.25">
      <c r="A529" s="5"/>
      <c r="B529" s="4"/>
      <c r="C529" s="4"/>
    </row>
    <row r="530" spans="1:3" x14ac:dyDescent="0.25">
      <c r="A530" s="5"/>
      <c r="B530" s="4"/>
      <c r="C530" s="4"/>
    </row>
    <row r="531" spans="1:3" x14ac:dyDescent="0.25">
      <c r="A531" s="5"/>
      <c r="B531" s="4"/>
      <c r="C531" s="4"/>
    </row>
    <row r="532" spans="1:3" x14ac:dyDescent="0.25">
      <c r="A532" s="5"/>
      <c r="B532" s="4"/>
      <c r="C532" s="4"/>
    </row>
    <row r="533" spans="1:3" x14ac:dyDescent="0.25">
      <c r="A533" s="5"/>
      <c r="B533" s="4"/>
      <c r="C533" s="4"/>
    </row>
    <row r="534" spans="1:3" x14ac:dyDescent="0.25">
      <c r="A534" s="5"/>
      <c r="B534" s="4"/>
      <c r="C534" s="4"/>
    </row>
    <row r="535" spans="1:3" x14ac:dyDescent="0.25">
      <c r="A535" s="5"/>
      <c r="B535" s="4"/>
      <c r="C535" s="4"/>
    </row>
    <row r="536" spans="1:3" x14ac:dyDescent="0.25">
      <c r="A536" s="5"/>
      <c r="B536" s="4"/>
      <c r="C536" s="4"/>
    </row>
    <row r="537" spans="1:3" x14ac:dyDescent="0.25">
      <c r="A537" s="5"/>
      <c r="B537" s="4"/>
      <c r="C537" s="4"/>
    </row>
    <row r="538" spans="1:3" x14ac:dyDescent="0.25">
      <c r="A538" s="5"/>
      <c r="B538" s="4"/>
      <c r="C538" s="4"/>
    </row>
    <row r="539" spans="1:3" x14ac:dyDescent="0.25">
      <c r="A539" s="5"/>
      <c r="B539" s="4"/>
      <c r="C539" s="4"/>
    </row>
    <row r="540" spans="1:3" x14ac:dyDescent="0.25">
      <c r="A540" s="5"/>
      <c r="B540" s="4"/>
      <c r="C540" s="4"/>
    </row>
    <row r="541" spans="1:3" x14ac:dyDescent="0.25">
      <c r="A541" s="5"/>
      <c r="B541" s="4"/>
      <c r="C541" s="4"/>
    </row>
    <row r="542" spans="1:3" x14ac:dyDescent="0.25">
      <c r="A542" s="5"/>
      <c r="B542" s="4"/>
      <c r="C542" s="4"/>
    </row>
    <row r="543" spans="1:3" x14ac:dyDescent="0.25">
      <c r="A543" s="5"/>
      <c r="B543" s="4"/>
      <c r="C543" s="4"/>
    </row>
    <row r="544" spans="1:3" x14ac:dyDescent="0.25">
      <c r="A544" s="5"/>
      <c r="B544" s="4"/>
      <c r="C544" s="4"/>
    </row>
    <row r="545" spans="1:3" x14ac:dyDescent="0.25">
      <c r="A545" s="5"/>
      <c r="B545" s="4"/>
      <c r="C545" s="4"/>
    </row>
    <row r="546" spans="1:3" x14ac:dyDescent="0.25">
      <c r="A546" s="5"/>
      <c r="B546" s="4"/>
      <c r="C546" s="4"/>
    </row>
    <row r="547" spans="1:3" x14ac:dyDescent="0.25">
      <c r="A547" s="5"/>
      <c r="B547" s="5"/>
      <c r="C547" s="4"/>
    </row>
    <row r="548" spans="1:3" x14ac:dyDescent="0.25">
      <c r="A548" s="5"/>
      <c r="B548" s="5"/>
      <c r="C548" s="4"/>
    </row>
    <row r="549" spans="1:3" x14ac:dyDescent="0.25">
      <c r="A549" s="5"/>
      <c r="B549" s="5"/>
      <c r="C549" s="4"/>
    </row>
    <row r="550" spans="1:3" x14ac:dyDescent="0.25">
      <c r="A550" s="5"/>
      <c r="B550" s="5"/>
      <c r="C550" s="4"/>
    </row>
    <row r="551" spans="1:3" x14ac:dyDescent="0.25">
      <c r="A551" s="5"/>
      <c r="B551" s="5"/>
      <c r="C551" s="4"/>
    </row>
    <row r="552" spans="1:3" x14ac:dyDescent="0.25">
      <c r="A552" s="5"/>
      <c r="B552" s="5"/>
      <c r="C552" s="4"/>
    </row>
    <row r="553" spans="1:3" x14ac:dyDescent="0.25">
      <c r="A553" s="5"/>
      <c r="B553" s="5"/>
      <c r="C553" s="4"/>
    </row>
    <row r="554" spans="1:3" x14ac:dyDescent="0.25">
      <c r="A554" s="5"/>
      <c r="B554" s="5"/>
      <c r="C554" s="4"/>
    </row>
    <row r="555" spans="1:3" x14ac:dyDescent="0.25">
      <c r="A555" s="5"/>
      <c r="B555" s="5"/>
      <c r="C555" s="4"/>
    </row>
    <row r="556" spans="1:3" x14ac:dyDescent="0.25">
      <c r="A556" s="5"/>
      <c r="B556" s="5"/>
      <c r="C556" s="4"/>
    </row>
    <row r="557" spans="1:3" x14ac:dyDescent="0.25">
      <c r="A557" s="5"/>
      <c r="B557" s="5"/>
      <c r="C557" s="4"/>
    </row>
    <row r="558" spans="1:3" x14ac:dyDescent="0.25">
      <c r="A558" s="5"/>
      <c r="B558" s="5"/>
      <c r="C558" s="4"/>
    </row>
    <row r="559" spans="1:3" x14ac:dyDescent="0.25">
      <c r="A559" s="5"/>
      <c r="B559" s="5"/>
      <c r="C559" s="4"/>
    </row>
    <row r="560" spans="1:3" x14ac:dyDescent="0.25">
      <c r="A560" s="5"/>
      <c r="B560" s="5"/>
      <c r="C560" s="4"/>
    </row>
    <row r="561" spans="1:9" x14ac:dyDescent="0.25">
      <c r="A561" s="5"/>
      <c r="B561" s="5"/>
      <c r="C561" s="4"/>
    </row>
    <row r="562" spans="1:9" x14ac:dyDescent="0.25">
      <c r="A562" s="5"/>
      <c r="B562" s="5"/>
      <c r="C562" s="4"/>
    </row>
    <row r="563" spans="1:9" x14ac:dyDescent="0.25">
      <c r="A563" s="5"/>
      <c r="B563" s="5"/>
      <c r="C563" s="4"/>
    </row>
    <row r="564" spans="1:9" x14ac:dyDescent="0.25">
      <c r="A564" s="5"/>
      <c r="B564" s="5"/>
      <c r="C564" s="4"/>
    </row>
    <row r="565" spans="1:9" x14ac:dyDescent="0.25">
      <c r="A565" s="5"/>
      <c r="B565" s="3"/>
      <c r="C565" s="3"/>
      <c r="D565" s="3"/>
      <c r="E565" s="3"/>
      <c r="F565" s="3"/>
      <c r="G565" s="3"/>
      <c r="H565" s="3"/>
      <c r="I565" s="3"/>
    </row>
    <row r="566" spans="1:9" x14ac:dyDescent="0.25">
      <c r="A566" s="5"/>
      <c r="B566" s="3"/>
      <c r="C566" s="3"/>
      <c r="D566" s="3"/>
      <c r="E566" s="3"/>
      <c r="F566" s="3"/>
      <c r="G566" s="3"/>
      <c r="H566" s="3"/>
      <c r="I566" s="3"/>
    </row>
    <row r="567" spans="1:9" x14ac:dyDescent="0.25">
      <c r="A567" s="5"/>
      <c r="B567" s="3"/>
      <c r="C567" s="3"/>
      <c r="D567" s="3"/>
      <c r="E567" s="3"/>
      <c r="F567" s="3"/>
      <c r="G567" s="3"/>
      <c r="H567" s="3"/>
      <c r="I567" s="3"/>
    </row>
    <row r="568" spans="1:9" x14ac:dyDescent="0.25">
      <c r="A568" s="5"/>
      <c r="B568" s="3"/>
      <c r="C568" s="3"/>
      <c r="D568" s="3"/>
      <c r="E568" s="3"/>
      <c r="F568" s="3"/>
      <c r="G568" s="3"/>
      <c r="H568" s="3"/>
      <c r="I568" s="3"/>
    </row>
    <row r="569" spans="1:9" x14ac:dyDescent="0.25">
      <c r="A569" s="5"/>
      <c r="B569" s="3"/>
      <c r="C569" s="3"/>
      <c r="D569" s="3"/>
      <c r="E569" s="3"/>
      <c r="F569" s="3"/>
      <c r="G569" s="3"/>
      <c r="H569" s="3"/>
      <c r="I569" s="3"/>
    </row>
    <row r="570" spans="1:9" x14ac:dyDescent="0.25">
      <c r="A570" s="5"/>
      <c r="B570" s="3"/>
      <c r="C570" s="3"/>
      <c r="D570" s="3"/>
      <c r="E570" s="3"/>
      <c r="F570" s="3"/>
      <c r="G570" s="3"/>
      <c r="H570" s="3"/>
      <c r="I570" s="3"/>
    </row>
    <row r="571" spans="1:9" x14ac:dyDescent="0.25">
      <c r="A571" s="5"/>
      <c r="B571" s="3"/>
      <c r="C571" s="3"/>
      <c r="D571" s="3"/>
      <c r="E571" s="3"/>
      <c r="F571" s="3"/>
      <c r="G571" s="3"/>
      <c r="H571" s="3"/>
      <c r="I571" s="3"/>
    </row>
    <row r="572" spans="1:9" x14ac:dyDescent="0.25">
      <c r="A572" s="5"/>
      <c r="B572" s="3"/>
      <c r="C572" s="3"/>
      <c r="D572" s="3"/>
      <c r="E572" s="3"/>
      <c r="F572" s="3"/>
      <c r="G572" s="3"/>
      <c r="H572" s="3"/>
      <c r="I572" s="3"/>
    </row>
    <row r="573" spans="1:9" x14ac:dyDescent="0.25">
      <c r="A573" s="5"/>
      <c r="B573" s="3"/>
      <c r="C573" s="3"/>
      <c r="D573" s="3"/>
      <c r="E573" s="3"/>
      <c r="F573" s="3"/>
      <c r="G573" s="3"/>
      <c r="H573" s="3"/>
      <c r="I573" s="3"/>
    </row>
    <row r="574" spans="1:9" x14ac:dyDescent="0.25">
      <c r="A574" s="5"/>
      <c r="B574" s="5"/>
      <c r="C574" s="4"/>
    </row>
    <row r="575" spans="1:9" x14ac:dyDescent="0.25">
      <c r="A575" s="5"/>
      <c r="B575" s="3"/>
      <c r="C575" s="3"/>
      <c r="D575" s="3"/>
      <c r="E575" s="3"/>
      <c r="F575" s="3"/>
      <c r="G575" s="3"/>
      <c r="H575" s="3"/>
      <c r="I575" s="3"/>
    </row>
    <row r="576" spans="1:9" x14ac:dyDescent="0.25">
      <c r="A576" s="5"/>
      <c r="D576" s="3"/>
      <c r="E576" s="3"/>
      <c r="F576" s="3"/>
      <c r="G576" s="3"/>
      <c r="H576" s="3"/>
      <c r="I576" s="3"/>
    </row>
    <row r="577" spans="1:9" x14ac:dyDescent="0.25">
      <c r="A577" s="5"/>
      <c r="D577" s="3"/>
      <c r="E577" s="3"/>
      <c r="F577" s="3"/>
      <c r="G577" s="3"/>
      <c r="H577" s="3"/>
      <c r="I577" s="3"/>
    </row>
    <row r="578" spans="1:9" x14ac:dyDescent="0.25">
      <c r="A578" s="5"/>
      <c r="D578" s="3"/>
      <c r="E578" s="3"/>
      <c r="F578" s="3"/>
      <c r="G578" s="3"/>
      <c r="H578" s="3"/>
      <c r="I578" s="3"/>
    </row>
    <row r="579" spans="1:9" x14ac:dyDescent="0.25">
      <c r="A579" s="5"/>
      <c r="D579" s="3"/>
      <c r="E579" s="3"/>
      <c r="F579" s="3"/>
      <c r="G579" s="3"/>
      <c r="H579" s="3"/>
      <c r="I579" s="3"/>
    </row>
    <row r="580" spans="1:9" x14ac:dyDescent="0.25">
      <c r="A580" s="5"/>
      <c r="D580" s="3"/>
      <c r="E580" s="3"/>
      <c r="F580" s="3"/>
      <c r="G580" s="3"/>
      <c r="H580" s="3"/>
      <c r="I580" s="3"/>
    </row>
    <row r="581" spans="1:9" x14ac:dyDescent="0.25">
      <c r="A581" s="5"/>
      <c r="B581" s="3"/>
      <c r="C581" s="3"/>
      <c r="D581" s="3"/>
      <c r="E581" s="3"/>
      <c r="F581" s="3"/>
      <c r="G581" s="3"/>
      <c r="H581" s="3"/>
      <c r="I581" s="3"/>
    </row>
    <row r="582" spans="1:9" x14ac:dyDescent="0.25">
      <c r="A582" s="5"/>
      <c r="D582" s="3"/>
      <c r="E582" s="3"/>
      <c r="F582" s="3"/>
      <c r="G582" s="3"/>
      <c r="H582" s="3"/>
      <c r="I582" s="3"/>
    </row>
    <row r="583" spans="1:9" x14ac:dyDescent="0.25">
      <c r="A583" s="5"/>
      <c r="D583" s="3"/>
      <c r="E583" s="3"/>
      <c r="F583" s="3"/>
      <c r="G583" s="3"/>
      <c r="H583" s="3"/>
      <c r="I583" s="3"/>
    </row>
    <row r="584" spans="1:9" x14ac:dyDescent="0.25">
      <c r="A584" s="5"/>
      <c r="B584" s="3"/>
      <c r="C584" s="3"/>
      <c r="D584" s="3"/>
      <c r="E584" s="3"/>
      <c r="F584" s="3"/>
      <c r="G584" s="3"/>
      <c r="H584" s="3"/>
      <c r="I584" s="3"/>
    </row>
    <row r="585" spans="1:9" x14ac:dyDescent="0.25">
      <c r="A585" s="5"/>
      <c r="B585" s="3"/>
      <c r="C585" s="3"/>
      <c r="D585" s="3"/>
      <c r="E585" s="3"/>
      <c r="F585" s="3"/>
      <c r="G585" s="3"/>
      <c r="H585" s="3"/>
      <c r="I585" s="3"/>
    </row>
    <row r="586" spans="1:9" x14ac:dyDescent="0.25">
      <c r="A586" s="5"/>
      <c r="D586" s="3"/>
      <c r="E586" s="3"/>
      <c r="F586" s="3"/>
      <c r="G586" s="3"/>
      <c r="H586" s="3"/>
      <c r="I586" s="3"/>
    </row>
    <row r="587" spans="1:9" x14ac:dyDescent="0.25">
      <c r="A587" s="5"/>
      <c r="D587" s="3"/>
      <c r="E587" s="3"/>
      <c r="F587" s="3"/>
      <c r="G587" s="3"/>
      <c r="H587" s="3"/>
      <c r="I587" s="3"/>
    </row>
    <row r="588" spans="1:9" x14ac:dyDescent="0.25">
      <c r="A588" s="5"/>
      <c r="D588" s="3"/>
      <c r="E588" s="3"/>
      <c r="F588" s="3"/>
      <c r="G588" s="3"/>
      <c r="H588" s="3"/>
      <c r="I588" s="3"/>
    </row>
    <row r="589" spans="1:9" x14ac:dyDescent="0.25">
      <c r="A589" s="5"/>
      <c r="D589" s="3"/>
      <c r="E589" s="3"/>
      <c r="F589" s="3"/>
      <c r="G589" s="3"/>
      <c r="H589" s="3"/>
      <c r="I589" s="3"/>
    </row>
    <row r="590" spans="1:9" x14ac:dyDescent="0.25">
      <c r="A590" s="5"/>
      <c r="D590" s="3"/>
      <c r="E590" s="3"/>
      <c r="F590" s="3"/>
      <c r="G590" s="3"/>
      <c r="H590" s="3"/>
      <c r="I590" s="3"/>
    </row>
    <row r="591" spans="1:9" x14ac:dyDescent="0.25">
      <c r="A591" s="5"/>
      <c r="B591" s="3"/>
      <c r="C591" s="3"/>
      <c r="D591" s="3"/>
      <c r="E591" s="3"/>
      <c r="F591" s="3"/>
      <c r="G591" s="3"/>
      <c r="H591" s="3"/>
      <c r="I591" s="3"/>
    </row>
    <row r="592" spans="1:9" x14ac:dyDescent="0.25">
      <c r="A592" s="2"/>
      <c r="D592" s="3"/>
      <c r="E592" s="3"/>
      <c r="F592" s="3"/>
      <c r="G592" s="3"/>
      <c r="H592" s="3"/>
      <c r="I592" s="3"/>
    </row>
    <row r="593" spans="1:9" x14ac:dyDescent="0.25">
      <c r="A593" s="2"/>
      <c r="D593" s="3"/>
      <c r="E593" s="3"/>
      <c r="F593" s="3"/>
      <c r="G593" s="3"/>
      <c r="H593" s="3"/>
      <c r="I593" s="3"/>
    </row>
    <row r="594" spans="1:9" x14ac:dyDescent="0.25">
      <c r="A594" s="2"/>
      <c r="B594" s="3"/>
      <c r="C594" s="3"/>
      <c r="D594" s="3"/>
      <c r="E594" s="3"/>
      <c r="F594" s="3"/>
      <c r="G594" s="3"/>
      <c r="H594" s="3"/>
      <c r="I594" s="3"/>
    </row>
    <row r="595" spans="1:9" x14ac:dyDescent="0.25">
      <c r="A595" s="2"/>
      <c r="D595" s="3"/>
      <c r="E595" s="3"/>
      <c r="F595" s="3"/>
      <c r="G595" s="3"/>
      <c r="H595" s="3"/>
      <c r="I595" s="3"/>
    </row>
    <row r="596" spans="1:9" x14ac:dyDescent="0.25">
      <c r="A596" s="2"/>
      <c r="D596" s="3"/>
      <c r="E596" s="3"/>
      <c r="F596" s="3"/>
      <c r="G596" s="3"/>
      <c r="H596" s="3"/>
      <c r="I596" s="3"/>
    </row>
    <row r="597" spans="1:9" x14ac:dyDescent="0.25">
      <c r="A597" s="2"/>
      <c r="D597" s="3"/>
      <c r="E597" s="3"/>
      <c r="F597" s="3"/>
      <c r="G597" s="3"/>
      <c r="H597" s="3"/>
      <c r="I597" s="3"/>
    </row>
    <row r="598" spans="1:9" x14ac:dyDescent="0.25">
      <c r="A598" s="2"/>
      <c r="D598" s="3"/>
      <c r="E598" s="3"/>
      <c r="F598" s="3"/>
      <c r="G598" s="3"/>
      <c r="H598" s="3"/>
      <c r="I598" s="3"/>
    </row>
    <row r="599" spans="1:9" x14ac:dyDescent="0.25">
      <c r="A599" s="2"/>
      <c r="D599" s="3"/>
      <c r="E599" s="3"/>
      <c r="F599" s="3"/>
      <c r="G599" s="3"/>
      <c r="H599" s="3"/>
      <c r="I599" s="3"/>
    </row>
    <row r="600" spans="1:9" x14ac:dyDescent="0.25">
      <c r="A600" s="2"/>
      <c r="D600" s="3"/>
      <c r="E600" s="3"/>
      <c r="F600" s="3"/>
      <c r="G600" s="3"/>
      <c r="H600" s="3"/>
      <c r="I600" s="3"/>
    </row>
    <row r="601" spans="1:9" x14ac:dyDescent="0.25">
      <c r="A601" s="2"/>
      <c r="D601" s="3"/>
      <c r="E601" s="3"/>
      <c r="F601" s="3"/>
      <c r="G601" s="3"/>
      <c r="H601" s="3"/>
      <c r="I601" s="3"/>
    </row>
    <row r="602" spans="1:9" x14ac:dyDescent="0.25">
      <c r="A602" s="2"/>
      <c r="D602" s="3"/>
      <c r="E602" s="3"/>
      <c r="F602" s="3"/>
      <c r="G602" s="3"/>
      <c r="H602" s="3"/>
      <c r="I602" s="3"/>
    </row>
    <row r="603" spans="1:9" x14ac:dyDescent="0.25">
      <c r="A603" s="2"/>
      <c r="D603" s="3"/>
      <c r="E603" s="3"/>
      <c r="F603" s="3"/>
      <c r="G603" s="3"/>
      <c r="H603" s="3"/>
      <c r="I603" s="3"/>
    </row>
    <row r="604" spans="1:9" x14ac:dyDescent="0.25">
      <c r="A604" s="2"/>
      <c r="D604" s="3"/>
      <c r="E604" s="3"/>
      <c r="F604" s="3"/>
      <c r="G604" s="3"/>
      <c r="H604" s="3"/>
      <c r="I604" s="3"/>
    </row>
    <row r="605" spans="1:9" x14ac:dyDescent="0.25">
      <c r="A605" s="2"/>
      <c r="D605" s="3"/>
      <c r="E605" s="3"/>
      <c r="F605" s="3"/>
      <c r="G605" s="3"/>
      <c r="H605" s="3"/>
      <c r="I605" s="3"/>
    </row>
    <row r="606" spans="1:9" x14ac:dyDescent="0.25">
      <c r="A606" s="2"/>
      <c r="D606" s="3"/>
      <c r="E606" s="3"/>
      <c r="F606" s="3"/>
      <c r="G606" s="3"/>
      <c r="H606" s="3"/>
      <c r="I606" s="3"/>
    </row>
    <row r="607" spans="1:9" x14ac:dyDescent="0.25">
      <c r="A607" s="2"/>
      <c r="B607" s="3"/>
      <c r="C607" s="3"/>
      <c r="D607" s="3"/>
      <c r="E607" s="3"/>
      <c r="F607" s="3"/>
      <c r="G607" s="3"/>
      <c r="H607" s="3"/>
      <c r="I607" s="3"/>
    </row>
    <row r="608" spans="1:9" x14ac:dyDescent="0.25">
      <c r="A608" s="2"/>
      <c r="B608" s="3"/>
      <c r="C608" s="3"/>
      <c r="D608" s="3"/>
      <c r="E608" s="3"/>
      <c r="F608" s="3"/>
      <c r="G608" s="3"/>
      <c r="H608" s="3"/>
      <c r="I608" s="3"/>
    </row>
    <row r="609" spans="1:9" x14ac:dyDescent="0.25">
      <c r="A609" s="2"/>
      <c r="B609" s="3"/>
      <c r="C609" s="3"/>
      <c r="D609" s="3"/>
      <c r="E609" s="3"/>
      <c r="F609" s="3"/>
      <c r="G609" s="3"/>
      <c r="H609" s="3"/>
      <c r="I609" s="3"/>
    </row>
    <row r="610" spans="1:9" x14ac:dyDescent="0.25">
      <c r="A610" s="2"/>
      <c r="B610" s="3"/>
      <c r="C610" s="3"/>
      <c r="D610" s="3"/>
      <c r="E610" s="3"/>
      <c r="F610" s="3"/>
      <c r="G610" s="3"/>
      <c r="H610" s="3"/>
      <c r="I610" s="3"/>
    </row>
    <row r="611" spans="1:9" x14ac:dyDescent="0.25">
      <c r="A611" s="2"/>
      <c r="B611" s="3"/>
      <c r="C611" s="3"/>
      <c r="D611" s="3"/>
      <c r="E611" s="3"/>
      <c r="F611" s="3"/>
      <c r="G611" s="3"/>
      <c r="H611" s="3"/>
      <c r="I611" s="3"/>
    </row>
    <row r="612" spans="1:9" x14ac:dyDescent="0.25">
      <c r="A612" s="2"/>
      <c r="B612" s="3"/>
      <c r="C612" s="3"/>
      <c r="D612" s="3"/>
      <c r="E612" s="3"/>
    </row>
    <row r="613" spans="1:9" x14ac:dyDescent="0.25">
      <c r="A613" s="2"/>
      <c r="B613" s="3"/>
      <c r="C613" s="3"/>
      <c r="D613" s="3"/>
      <c r="E613" s="3"/>
      <c r="F613" s="3"/>
      <c r="G613" s="3"/>
      <c r="H613" s="3"/>
      <c r="I613" s="3"/>
    </row>
    <row r="614" spans="1:9" x14ac:dyDescent="0.25">
      <c r="A614" s="2"/>
      <c r="B614" s="3"/>
      <c r="C614" s="3"/>
      <c r="D614" s="3"/>
      <c r="E614" s="3"/>
      <c r="F614" s="3"/>
      <c r="G614" s="3"/>
      <c r="H614" s="3"/>
      <c r="I614" s="3"/>
    </row>
    <row r="615" spans="1:9" x14ac:dyDescent="0.25">
      <c r="A615" s="2"/>
      <c r="B615" s="3"/>
      <c r="C615" s="3"/>
      <c r="D615" s="3"/>
      <c r="E615" s="3"/>
      <c r="F615" s="3"/>
      <c r="G615" s="3"/>
      <c r="H615" s="3"/>
      <c r="I615" s="3"/>
    </row>
    <row r="616" spans="1:9" x14ac:dyDescent="0.25">
      <c r="A616" s="2"/>
      <c r="B616" s="3"/>
      <c r="C616" s="3"/>
      <c r="D616" s="3"/>
      <c r="E616" s="3"/>
      <c r="F616" s="3"/>
      <c r="G616" s="3"/>
      <c r="H616" s="3"/>
      <c r="I616" s="3"/>
    </row>
    <row r="617" spans="1:9" x14ac:dyDescent="0.25">
      <c r="A617" s="2"/>
      <c r="B617" s="3"/>
      <c r="C617" s="3"/>
      <c r="D617" s="3"/>
      <c r="E617" s="3"/>
      <c r="F617" s="3"/>
      <c r="G617" s="3"/>
      <c r="H617" s="3"/>
      <c r="I617" s="3"/>
    </row>
    <row r="618" spans="1:9" x14ac:dyDescent="0.25">
      <c r="A618" s="2"/>
      <c r="B618" s="3"/>
      <c r="C618" s="3"/>
      <c r="D618" s="3"/>
      <c r="E618" s="3"/>
      <c r="F618" s="3"/>
      <c r="G618" s="3"/>
      <c r="H618" s="3"/>
      <c r="I618" s="3"/>
    </row>
    <row r="619" spans="1:9" x14ac:dyDescent="0.25">
      <c r="A619" s="2"/>
      <c r="B619" s="3"/>
      <c r="C619" s="3"/>
      <c r="D619" s="3"/>
      <c r="E619" s="3"/>
      <c r="F619" s="3"/>
      <c r="G619" s="3"/>
      <c r="H619" s="3"/>
      <c r="I619" s="3"/>
    </row>
    <row r="620" spans="1:9" x14ac:dyDescent="0.25">
      <c r="A620" s="2"/>
      <c r="B620" s="3"/>
      <c r="C620" s="3"/>
      <c r="D620" s="3"/>
      <c r="E620" s="3"/>
      <c r="F620" s="3"/>
      <c r="G620" s="3"/>
      <c r="H620" s="3"/>
      <c r="I620" s="3"/>
    </row>
    <row r="621" spans="1:9" x14ac:dyDescent="0.25">
      <c r="A621" s="2"/>
      <c r="B621" s="3"/>
      <c r="C621" s="3"/>
      <c r="D621" s="3"/>
      <c r="E621" s="3"/>
      <c r="F621" s="3"/>
      <c r="G621" s="3"/>
      <c r="H621" s="3"/>
      <c r="I621" s="3"/>
    </row>
    <row r="622" spans="1:9" x14ac:dyDescent="0.25">
      <c r="A622" s="2"/>
      <c r="B622" s="3"/>
      <c r="C622" s="3"/>
      <c r="D622" s="3"/>
      <c r="E622" s="3"/>
      <c r="F622" s="3"/>
      <c r="G622" s="3"/>
      <c r="H622" s="3"/>
      <c r="I622" s="3"/>
    </row>
    <row r="623" spans="1:9" x14ac:dyDescent="0.25">
      <c r="A623" s="2"/>
      <c r="B623" s="3"/>
      <c r="C623" s="3"/>
      <c r="D623" s="3"/>
      <c r="E623" s="3"/>
      <c r="F623" s="3"/>
      <c r="G623" s="3"/>
      <c r="H623" s="3"/>
      <c r="I623" s="3"/>
    </row>
    <row r="624" spans="1:9" x14ac:dyDescent="0.25">
      <c r="A624" s="2"/>
      <c r="B624" s="3"/>
      <c r="C624" s="3"/>
      <c r="D624" s="3"/>
      <c r="E624" s="3"/>
      <c r="F624" s="3"/>
      <c r="G624" s="3"/>
      <c r="H624" s="3"/>
      <c r="I624" s="3"/>
    </row>
    <row r="625" spans="1:9" x14ac:dyDescent="0.25">
      <c r="A625" s="2"/>
      <c r="B625" s="3"/>
      <c r="C625" s="3"/>
      <c r="D625" s="3"/>
      <c r="E625" s="3"/>
      <c r="F625" s="3"/>
      <c r="G625" s="3"/>
      <c r="H625" s="3"/>
      <c r="I625" s="3"/>
    </row>
    <row r="626" spans="1:9" x14ac:dyDescent="0.25">
      <c r="A626" s="2"/>
      <c r="B626" s="3"/>
      <c r="C626" s="3"/>
      <c r="D626" s="3"/>
      <c r="E626" s="3"/>
      <c r="F626" s="3"/>
      <c r="G626" s="3"/>
      <c r="H626" s="3"/>
      <c r="I626" s="3"/>
    </row>
    <row r="627" spans="1:9" x14ac:dyDescent="0.25">
      <c r="A627" s="2"/>
      <c r="B627" s="3"/>
      <c r="C627" s="3"/>
      <c r="D627" s="3"/>
      <c r="E627" s="3"/>
      <c r="F627" s="3"/>
      <c r="G627" s="3"/>
      <c r="H627" s="3"/>
      <c r="I627" s="3"/>
    </row>
    <row r="628" spans="1:9" x14ac:dyDescent="0.25">
      <c r="A628" s="2"/>
      <c r="B628" s="3"/>
      <c r="C628" s="3"/>
      <c r="D628" s="3"/>
      <c r="E628" s="3"/>
      <c r="F628" s="3"/>
      <c r="G628" s="3"/>
      <c r="H628" s="3"/>
      <c r="I628" s="3"/>
    </row>
    <row r="629" spans="1:9" x14ac:dyDescent="0.25">
      <c r="A629" s="2"/>
      <c r="B629" s="3"/>
      <c r="C629" s="3"/>
      <c r="D629" s="3"/>
      <c r="E629" s="3"/>
      <c r="F629" s="3"/>
      <c r="G629" s="3"/>
      <c r="H629" s="3"/>
      <c r="I629" s="3"/>
    </row>
    <row r="630" spans="1:9" x14ac:dyDescent="0.25">
      <c r="A630" s="2"/>
      <c r="B630" s="3"/>
      <c r="C630" s="3"/>
      <c r="D630" s="3"/>
      <c r="E630" s="3"/>
      <c r="F630" s="3"/>
      <c r="G630" s="3"/>
      <c r="H630" s="3"/>
      <c r="I630" s="3"/>
    </row>
    <row r="631" spans="1:9" x14ac:dyDescent="0.25">
      <c r="A631" s="2"/>
      <c r="B631" s="3"/>
      <c r="C631" s="3"/>
      <c r="D631" s="3"/>
      <c r="E631" s="3"/>
      <c r="F631" s="3"/>
      <c r="G631" s="3"/>
      <c r="H631" s="3"/>
      <c r="I631" s="3"/>
    </row>
    <row r="632" spans="1:9" x14ac:dyDescent="0.25">
      <c r="A632" s="2"/>
      <c r="B632" s="3"/>
      <c r="C632" s="3"/>
      <c r="D632" s="3"/>
      <c r="E632" s="3"/>
      <c r="F632" s="3"/>
      <c r="G632" s="3"/>
      <c r="H632" s="3"/>
      <c r="I632" s="3"/>
    </row>
    <row r="633" spans="1:9" x14ac:dyDescent="0.25">
      <c r="A633" s="2"/>
      <c r="B633" s="3"/>
      <c r="C633" s="3"/>
      <c r="D633" s="3"/>
      <c r="E633" s="3"/>
      <c r="F633" s="3"/>
      <c r="G633" s="3"/>
      <c r="H633" s="3"/>
      <c r="I633" s="3"/>
    </row>
    <row r="634" spans="1:9" x14ac:dyDescent="0.25">
      <c r="A634" s="2"/>
      <c r="B634" s="3"/>
      <c r="C634" s="3"/>
      <c r="D634" s="3"/>
      <c r="E634" s="3"/>
      <c r="F634" s="3"/>
      <c r="G634" s="3"/>
      <c r="H634" s="3"/>
      <c r="I634" s="3"/>
    </row>
    <row r="635" spans="1:9" x14ac:dyDescent="0.25">
      <c r="A635" s="2"/>
      <c r="B635" s="3"/>
      <c r="C635" s="3"/>
      <c r="D635" s="3"/>
      <c r="E635" s="3"/>
      <c r="F635" s="3"/>
      <c r="G635" s="3"/>
      <c r="H635" s="3"/>
      <c r="I635" s="3"/>
    </row>
    <row r="636" spans="1:9" x14ac:dyDescent="0.25">
      <c r="A636" s="2"/>
      <c r="B636" s="3"/>
      <c r="C636" s="3"/>
      <c r="D636" s="3"/>
      <c r="E636" s="3"/>
      <c r="F636" s="3"/>
      <c r="G636" s="3"/>
      <c r="H636" s="3"/>
      <c r="I636" s="3"/>
    </row>
    <row r="637" spans="1:9" x14ac:dyDescent="0.25">
      <c r="A637" s="2"/>
      <c r="B637" s="3"/>
      <c r="C637" s="3"/>
      <c r="D637" s="3"/>
      <c r="E637" s="3"/>
      <c r="F637" s="3"/>
      <c r="G637" s="3"/>
      <c r="H637" s="3"/>
      <c r="I637" s="3"/>
    </row>
    <row r="638" spans="1:9" x14ac:dyDescent="0.25">
      <c r="A638" s="2"/>
      <c r="B638" s="3"/>
      <c r="C638" s="3"/>
      <c r="D638" s="3"/>
      <c r="E638" s="3"/>
      <c r="F638" s="3"/>
      <c r="G638" s="3"/>
      <c r="H638" s="3"/>
      <c r="I638" s="3"/>
    </row>
    <row r="639" spans="1:9" x14ac:dyDescent="0.25">
      <c r="A639" s="2"/>
      <c r="B639" s="3"/>
      <c r="C639" s="3"/>
      <c r="D639" s="3"/>
      <c r="E639" s="3"/>
      <c r="F639" s="3"/>
      <c r="G639" s="3"/>
      <c r="H639" s="3"/>
      <c r="I639" s="3"/>
    </row>
    <row r="640" spans="1:9" x14ac:dyDescent="0.25">
      <c r="A640" s="2"/>
      <c r="B640" s="3"/>
      <c r="C640" s="3"/>
      <c r="D640" s="3"/>
      <c r="E640" s="3"/>
      <c r="F640" s="3"/>
      <c r="G640" s="3"/>
      <c r="H640" s="3"/>
      <c r="I640" s="3"/>
    </row>
    <row r="641" spans="1:9" x14ac:dyDescent="0.25">
      <c r="A641" s="2"/>
      <c r="B641" s="3"/>
      <c r="C641" s="3"/>
      <c r="D641" s="3"/>
      <c r="E641" s="3"/>
      <c r="F641" s="3"/>
      <c r="G641" s="3"/>
      <c r="H641" s="3"/>
      <c r="I641" s="3"/>
    </row>
    <row r="642" spans="1:9" x14ac:dyDescent="0.25">
      <c r="A642" s="2"/>
      <c r="B642" s="3"/>
      <c r="C642" s="3"/>
      <c r="D642" s="3"/>
      <c r="E642" s="3"/>
      <c r="F642" s="3"/>
      <c r="G642" s="3"/>
      <c r="H642" s="3"/>
      <c r="I642" s="3"/>
    </row>
    <row r="643" spans="1:9" x14ac:dyDescent="0.25">
      <c r="A643" s="2"/>
      <c r="B643" s="3"/>
      <c r="C643" s="3"/>
      <c r="D643" s="3"/>
      <c r="E643" s="3"/>
      <c r="F643" s="3"/>
      <c r="G643" s="3"/>
      <c r="H643" s="3"/>
      <c r="I643" s="3"/>
    </row>
    <row r="644" spans="1:9" x14ac:dyDescent="0.25">
      <c r="A644" s="2"/>
      <c r="B644" s="3"/>
      <c r="C644" s="3"/>
      <c r="D644" s="3"/>
      <c r="E644" s="3"/>
      <c r="F644" s="3"/>
      <c r="G644" s="3"/>
      <c r="H644" s="3"/>
      <c r="I644" s="3"/>
    </row>
    <row r="645" spans="1:9" x14ac:dyDescent="0.25">
      <c r="A645" s="2"/>
      <c r="B645" s="3"/>
      <c r="C645" s="3"/>
      <c r="D645" s="3"/>
      <c r="E645" s="3"/>
      <c r="F645" s="3"/>
      <c r="G645" s="3"/>
      <c r="H645" s="3"/>
      <c r="I645" s="3"/>
    </row>
    <row r="646" spans="1:9" x14ac:dyDescent="0.25">
      <c r="A646" s="2"/>
      <c r="B646" s="3"/>
      <c r="C646" s="3"/>
      <c r="D646" s="3"/>
      <c r="E646" s="3"/>
      <c r="F646" s="3"/>
      <c r="G646" s="3"/>
      <c r="H646" s="3"/>
      <c r="I646" s="3"/>
    </row>
    <row r="647" spans="1:9" x14ac:dyDescent="0.25">
      <c r="A647" s="2"/>
      <c r="B647" s="3"/>
      <c r="C647" s="3"/>
      <c r="D647" s="3"/>
      <c r="E647" s="3"/>
      <c r="F647" s="3"/>
      <c r="G647" s="3"/>
      <c r="H647" s="3"/>
      <c r="I647" s="3"/>
    </row>
    <row r="648" spans="1:9" x14ac:dyDescent="0.25">
      <c r="A648" s="2"/>
      <c r="B648" s="3"/>
      <c r="C648" s="3"/>
      <c r="D648" s="3"/>
      <c r="E648" s="3"/>
      <c r="F648" s="3"/>
      <c r="G648" s="3"/>
      <c r="H648" s="3"/>
      <c r="I648" s="3"/>
    </row>
    <row r="649" spans="1:9" x14ac:dyDescent="0.25">
      <c r="A649" s="2"/>
      <c r="B649" s="3"/>
      <c r="C649" s="3"/>
      <c r="D649" s="3"/>
      <c r="E649" s="3"/>
      <c r="F649" s="3"/>
      <c r="G649" s="3"/>
      <c r="H649" s="3"/>
      <c r="I649" s="3"/>
    </row>
    <row r="650" spans="1:9" x14ac:dyDescent="0.25">
      <c r="A650" s="2"/>
      <c r="B650" s="3"/>
      <c r="C650" s="3"/>
      <c r="D650" s="3"/>
      <c r="E650" s="3"/>
      <c r="F650" s="3"/>
      <c r="G650" s="3"/>
      <c r="H650" s="3"/>
      <c r="I650" s="3"/>
    </row>
    <row r="651" spans="1:9" x14ac:dyDescent="0.25">
      <c r="A651" s="2"/>
      <c r="B651" s="3"/>
      <c r="C651" s="3"/>
      <c r="D651" s="3"/>
      <c r="E651" s="3"/>
      <c r="F651" s="3"/>
      <c r="G651" s="3"/>
      <c r="H651" s="3"/>
      <c r="I651" s="3"/>
    </row>
    <row r="652" spans="1:9" x14ac:dyDescent="0.25">
      <c r="A652" s="2"/>
      <c r="B652" s="3"/>
      <c r="C652" s="3"/>
      <c r="D652" s="3"/>
      <c r="E652" s="3"/>
      <c r="F652" s="3"/>
      <c r="G652" s="3"/>
      <c r="H652" s="3"/>
      <c r="I652" s="3"/>
    </row>
    <row r="653" spans="1:9" x14ac:dyDescent="0.25">
      <c r="A653" s="2"/>
      <c r="B653" s="3"/>
      <c r="C653" s="3"/>
      <c r="D653" s="3"/>
      <c r="E653" s="3"/>
      <c r="F653" s="3"/>
      <c r="G653" s="3"/>
      <c r="H653" s="3"/>
      <c r="I653" s="3"/>
    </row>
    <row r="654" spans="1:9" x14ac:dyDescent="0.25">
      <c r="A654" s="2"/>
      <c r="B654" s="3"/>
      <c r="C654" s="3"/>
      <c r="D654" s="3"/>
      <c r="E654" s="3"/>
      <c r="F654" s="3"/>
      <c r="G654" s="3"/>
      <c r="H654" s="3"/>
      <c r="I654" s="3"/>
    </row>
    <row r="655" spans="1:9" x14ac:dyDescent="0.25">
      <c r="A655" s="2"/>
      <c r="B655" s="3"/>
      <c r="C655" s="3"/>
      <c r="D655" s="3"/>
      <c r="E655" s="3"/>
      <c r="F655" s="3"/>
      <c r="G655" s="3"/>
      <c r="H655" s="3"/>
      <c r="I655" s="3"/>
    </row>
    <row r="656" spans="1:9" x14ac:dyDescent="0.25">
      <c r="A656" s="2"/>
      <c r="B656" s="3"/>
      <c r="C656" s="3"/>
      <c r="D656" s="3"/>
      <c r="E656" s="3"/>
      <c r="F656" s="3"/>
      <c r="G656" s="3"/>
      <c r="H656" s="3"/>
      <c r="I656" s="3"/>
    </row>
    <row r="657" spans="1:9" x14ac:dyDescent="0.25">
      <c r="A657" s="2"/>
      <c r="B657" s="3"/>
      <c r="C657" s="3"/>
      <c r="D657" s="3"/>
      <c r="E657" s="3"/>
      <c r="F657" s="3"/>
      <c r="G657" s="3"/>
      <c r="H657" s="3"/>
      <c r="I657" s="3"/>
    </row>
    <row r="658" spans="1:9" x14ac:dyDescent="0.25">
      <c r="A658" s="2"/>
      <c r="B658" s="3"/>
      <c r="C658" s="3"/>
      <c r="D658" s="3"/>
      <c r="E658" s="3"/>
      <c r="F658" s="3"/>
      <c r="G658" s="3"/>
      <c r="H658" s="3"/>
      <c r="I658" s="3"/>
    </row>
    <row r="659" spans="1:9" x14ac:dyDescent="0.25">
      <c r="A659" s="2"/>
      <c r="B659" s="3"/>
      <c r="C659" s="3"/>
      <c r="D659" s="3"/>
      <c r="E659" s="3"/>
      <c r="F659" s="3"/>
      <c r="G659" s="3"/>
      <c r="H659" s="3"/>
      <c r="I659" s="3"/>
    </row>
    <row r="660" spans="1:9" x14ac:dyDescent="0.25">
      <c r="A660" s="2"/>
      <c r="B660" s="3"/>
      <c r="C660" s="3"/>
      <c r="D660" s="3"/>
      <c r="E660" s="3"/>
      <c r="F660" s="3"/>
      <c r="G660" s="3"/>
      <c r="H660" s="3"/>
      <c r="I660" s="3"/>
    </row>
    <row r="661" spans="1:9" x14ac:dyDescent="0.25">
      <c r="A661" s="2"/>
      <c r="B661" s="3"/>
      <c r="C661" s="3"/>
      <c r="D661" s="3"/>
      <c r="E661" s="3"/>
      <c r="F661" s="3"/>
      <c r="G661" s="3"/>
      <c r="H661" s="3"/>
      <c r="I661" s="3"/>
    </row>
    <row r="662" spans="1:9" x14ac:dyDescent="0.25">
      <c r="A662" s="2"/>
      <c r="B662" s="3"/>
      <c r="C662" s="3"/>
      <c r="D662" s="3"/>
      <c r="E662" s="3"/>
      <c r="F662" s="3"/>
      <c r="G662" s="3"/>
      <c r="H662" s="3"/>
      <c r="I662" s="3"/>
    </row>
    <row r="663" spans="1:9" x14ac:dyDescent="0.25">
      <c r="A663" s="2"/>
      <c r="B663" s="3"/>
      <c r="C663" s="3"/>
      <c r="D663" s="3"/>
      <c r="E663" s="3"/>
      <c r="F663" s="3"/>
      <c r="G663" s="3"/>
      <c r="H663" s="3"/>
      <c r="I663" s="3"/>
    </row>
    <row r="664" spans="1:9" x14ac:dyDescent="0.25">
      <c r="A664" s="2"/>
      <c r="B664" s="3"/>
      <c r="C664" s="3"/>
      <c r="D664" s="3"/>
      <c r="E664" s="3"/>
      <c r="F664" s="3"/>
      <c r="G664" s="3"/>
      <c r="H664" s="3"/>
      <c r="I664" s="3"/>
    </row>
    <row r="665" spans="1:9" x14ac:dyDescent="0.25">
      <c r="A665" s="2"/>
      <c r="B665" s="3"/>
      <c r="C665" s="3"/>
      <c r="D665" s="3"/>
      <c r="E665" s="3"/>
      <c r="F665" s="3"/>
      <c r="G665" s="3"/>
      <c r="H665" s="3"/>
      <c r="I665" s="3"/>
    </row>
    <row r="666" spans="1:9" x14ac:dyDescent="0.25">
      <c r="A666" s="2"/>
      <c r="B666" s="3"/>
      <c r="C666" s="3"/>
      <c r="D666" s="3"/>
      <c r="E666" s="3"/>
      <c r="F666" s="3"/>
      <c r="G666" s="3"/>
      <c r="H666" s="3"/>
      <c r="I666" s="3"/>
    </row>
    <row r="667" spans="1:9" x14ac:dyDescent="0.25">
      <c r="A667" s="2"/>
      <c r="B667" s="3"/>
      <c r="C667" s="3"/>
      <c r="D667" s="3"/>
      <c r="E667" s="3"/>
      <c r="F667" s="3"/>
      <c r="G667" s="3"/>
      <c r="H667" s="3"/>
      <c r="I667" s="3"/>
    </row>
    <row r="668" spans="1:9" x14ac:dyDescent="0.25">
      <c r="A668" s="2"/>
      <c r="B668" s="3"/>
      <c r="C668" s="3"/>
      <c r="D668" s="3"/>
      <c r="E668" s="3"/>
      <c r="F668" s="3"/>
      <c r="G668" s="3"/>
      <c r="H668" s="3"/>
      <c r="I668" s="3"/>
    </row>
    <row r="669" spans="1:9" x14ac:dyDescent="0.25">
      <c r="A669" s="2"/>
      <c r="B669" s="3"/>
      <c r="C669" s="3"/>
      <c r="D669" s="3"/>
      <c r="E669" s="3"/>
      <c r="F669" s="3"/>
      <c r="G669" s="3"/>
      <c r="H669" s="3"/>
      <c r="I669" s="3"/>
    </row>
    <row r="670" spans="1:9" x14ac:dyDescent="0.25">
      <c r="A670" s="2"/>
      <c r="B670" s="3"/>
      <c r="C670" s="3"/>
      <c r="D670" s="3"/>
      <c r="E670" s="3"/>
      <c r="F670" s="3"/>
      <c r="G670" s="3"/>
      <c r="H670" s="3"/>
      <c r="I670" s="3"/>
    </row>
    <row r="671" spans="1:9" x14ac:dyDescent="0.25">
      <c r="A671" s="2"/>
      <c r="B671" s="3"/>
      <c r="C671" s="3"/>
      <c r="D671" s="3"/>
      <c r="E671" s="3"/>
      <c r="F671" s="3"/>
      <c r="G671" s="3"/>
      <c r="H671" s="3"/>
      <c r="I671" s="3"/>
    </row>
    <row r="672" spans="1:9" x14ac:dyDescent="0.25">
      <c r="A672" s="2"/>
      <c r="B672" s="3"/>
      <c r="C672" s="3"/>
      <c r="D672" s="3"/>
      <c r="E672" s="3"/>
      <c r="F672" s="3"/>
      <c r="G672" s="3"/>
      <c r="H672" s="3"/>
      <c r="I672" s="3"/>
    </row>
    <row r="673" spans="1:9" x14ac:dyDescent="0.25">
      <c r="A673" s="2"/>
      <c r="B673" s="3"/>
      <c r="C673" s="3"/>
      <c r="D673" s="3"/>
      <c r="E673" s="3"/>
      <c r="F673" s="3"/>
      <c r="G673" s="3"/>
      <c r="H673" s="3"/>
      <c r="I673" s="3"/>
    </row>
    <row r="674" spans="1:9" x14ac:dyDescent="0.25">
      <c r="A674" s="2"/>
      <c r="B674" s="3"/>
      <c r="C674" s="3"/>
      <c r="D674" s="3"/>
      <c r="E674" s="3"/>
      <c r="F674" s="3"/>
      <c r="G674" s="3"/>
      <c r="H674" s="3"/>
      <c r="I674" s="3"/>
    </row>
    <row r="675" spans="1:9" x14ac:dyDescent="0.25">
      <c r="A675" s="2"/>
      <c r="B675" s="3"/>
      <c r="C675" s="3"/>
      <c r="D675" s="3"/>
      <c r="E675" s="3"/>
      <c r="F675" s="3"/>
      <c r="G675" s="3"/>
      <c r="H675" s="3"/>
      <c r="I675" s="3"/>
    </row>
    <row r="676" spans="1:9" x14ac:dyDescent="0.25">
      <c r="A676" s="2"/>
      <c r="B676" s="3"/>
      <c r="C676" s="3"/>
      <c r="D676" s="3"/>
      <c r="E676" s="3"/>
      <c r="F676" s="3"/>
      <c r="G676" s="3"/>
      <c r="H676" s="3"/>
      <c r="I676" s="3"/>
    </row>
    <row r="677" spans="1:9" x14ac:dyDescent="0.25">
      <c r="A677" s="2"/>
      <c r="B677" s="3"/>
      <c r="C677" s="3"/>
      <c r="D677" s="3"/>
      <c r="E677" s="3"/>
      <c r="F677" s="3"/>
      <c r="G677" s="3"/>
      <c r="H677" s="3"/>
      <c r="I677" s="3"/>
    </row>
    <row r="678" spans="1:9" x14ac:dyDescent="0.25">
      <c r="A678" s="2"/>
      <c r="B678" s="3"/>
      <c r="C678" s="3"/>
      <c r="D678" s="3"/>
      <c r="E678" s="3"/>
      <c r="F678" s="3"/>
      <c r="G678" s="3"/>
      <c r="H678" s="3"/>
      <c r="I678" s="3"/>
    </row>
    <row r="679" spans="1:9" x14ac:dyDescent="0.25">
      <c r="A679" s="2"/>
      <c r="B679" s="3"/>
      <c r="C679" s="3"/>
      <c r="D679" s="3"/>
      <c r="E679" s="3"/>
      <c r="F679" s="3"/>
      <c r="G679" s="3"/>
      <c r="H679" s="3"/>
      <c r="I679" s="3"/>
    </row>
    <row r="680" spans="1:9" x14ac:dyDescent="0.25">
      <c r="A680" s="2"/>
      <c r="B680" s="3"/>
      <c r="C680" s="3"/>
      <c r="D680" s="3"/>
      <c r="E680" s="3"/>
      <c r="F680" s="3"/>
      <c r="G680" s="3"/>
      <c r="H680" s="3"/>
      <c r="I680" s="3"/>
    </row>
    <row r="681" spans="1:9" x14ac:dyDescent="0.25">
      <c r="A681" s="2"/>
      <c r="B681" s="3"/>
      <c r="C681" s="3"/>
      <c r="D681" s="3"/>
      <c r="E681" s="3"/>
      <c r="F681" s="3"/>
      <c r="G681" s="3"/>
      <c r="H681" s="3"/>
      <c r="I681" s="3"/>
    </row>
    <row r="682" spans="1:9" x14ac:dyDescent="0.25">
      <c r="A682" s="2"/>
      <c r="B682" s="3"/>
      <c r="C682" s="3"/>
      <c r="D682" s="3"/>
      <c r="E682" s="3"/>
      <c r="F682" s="3"/>
      <c r="G682" s="3"/>
      <c r="H682" s="3"/>
      <c r="I682" s="3"/>
    </row>
    <row r="683" spans="1:9" x14ac:dyDescent="0.25">
      <c r="A683" s="2"/>
      <c r="B683" s="3"/>
      <c r="C683" s="3"/>
      <c r="D683" s="3"/>
      <c r="E683" s="3"/>
      <c r="F683" s="3"/>
      <c r="G683" s="3"/>
      <c r="H683" s="3"/>
      <c r="I683" s="3"/>
    </row>
    <row r="684" spans="1:9" x14ac:dyDescent="0.25">
      <c r="A684" s="2"/>
      <c r="B684" s="3"/>
      <c r="C684" s="3"/>
      <c r="D684" s="3"/>
      <c r="E684" s="3"/>
      <c r="F684" s="3"/>
      <c r="G684" s="3"/>
      <c r="H684" s="3"/>
      <c r="I684" s="3"/>
    </row>
    <row r="685" spans="1:9" x14ac:dyDescent="0.25">
      <c r="A685" s="2"/>
      <c r="B685" s="3"/>
      <c r="C685" s="3"/>
      <c r="D685" s="3"/>
      <c r="E685" s="3"/>
      <c r="F685" s="3"/>
      <c r="G685" s="3"/>
      <c r="H685" s="3"/>
      <c r="I685" s="3"/>
    </row>
    <row r="686" spans="1:9" x14ac:dyDescent="0.25">
      <c r="A686" s="2"/>
      <c r="B686" s="3"/>
      <c r="C686" s="3"/>
      <c r="D686" s="3"/>
      <c r="E686" s="3"/>
      <c r="F686" s="3"/>
      <c r="G686" s="3"/>
      <c r="H686" s="3"/>
      <c r="I686" s="3"/>
    </row>
    <row r="687" spans="1:9" x14ac:dyDescent="0.25">
      <c r="A687" s="2"/>
      <c r="B687" s="3"/>
      <c r="C687" s="3"/>
      <c r="D687" s="3"/>
      <c r="E687" s="3"/>
      <c r="F687" s="3"/>
      <c r="G687" s="3"/>
      <c r="H687" s="3"/>
      <c r="I687" s="3"/>
    </row>
    <row r="688" spans="1:9" x14ac:dyDescent="0.25">
      <c r="A688" s="2"/>
      <c r="B688" s="3"/>
      <c r="C688" s="3"/>
      <c r="D688" s="3"/>
      <c r="E688" s="3"/>
      <c r="F688" s="3"/>
      <c r="G688" s="3"/>
      <c r="H688" s="3"/>
      <c r="I688" s="3"/>
    </row>
    <row r="689" spans="1:9" x14ac:dyDescent="0.25">
      <c r="A689" s="2"/>
      <c r="B689" s="3"/>
      <c r="C689" s="3"/>
      <c r="D689" s="3"/>
      <c r="E689" s="3"/>
      <c r="F689" s="3"/>
      <c r="G689" s="3"/>
      <c r="H689" s="3"/>
      <c r="I689" s="3"/>
    </row>
    <row r="690" spans="1:9" x14ac:dyDescent="0.25">
      <c r="A690" s="2"/>
      <c r="B690" s="3"/>
      <c r="C690" s="3"/>
      <c r="D690" s="3"/>
      <c r="E690" s="3"/>
      <c r="F690" s="3"/>
      <c r="G690" s="3"/>
      <c r="H690" s="3"/>
      <c r="I690" s="3"/>
    </row>
    <row r="691" spans="1:9" x14ac:dyDescent="0.25">
      <c r="A691" s="2"/>
      <c r="B691" s="3"/>
      <c r="C691" s="3"/>
      <c r="D691" s="3"/>
      <c r="E691" s="3"/>
      <c r="F691" s="3"/>
      <c r="G691" s="3"/>
      <c r="H691" s="3"/>
      <c r="I691" s="3"/>
    </row>
    <row r="692" spans="1:9" x14ac:dyDescent="0.25">
      <c r="A692" s="2"/>
      <c r="B692" s="3"/>
      <c r="C692" s="3"/>
      <c r="D692" s="3"/>
      <c r="E692" s="3"/>
      <c r="F692" s="3"/>
      <c r="G692" s="3"/>
      <c r="H692" s="3"/>
      <c r="I692" s="3"/>
    </row>
    <row r="693" spans="1:9" x14ac:dyDescent="0.25">
      <c r="A693" s="2"/>
      <c r="B693" s="3"/>
      <c r="C693" s="3"/>
      <c r="D693" s="3"/>
      <c r="E693" s="3"/>
      <c r="F693" s="3"/>
      <c r="G693" s="3"/>
      <c r="H693" s="3"/>
      <c r="I693" s="3"/>
    </row>
    <row r="694" spans="1:9" x14ac:dyDescent="0.25">
      <c r="A694" s="2"/>
      <c r="B694" s="3"/>
      <c r="C694" s="3"/>
      <c r="D694" s="3"/>
      <c r="E694" s="3"/>
      <c r="F694" s="3"/>
      <c r="G694" s="3"/>
      <c r="H694" s="3"/>
      <c r="I694" s="3"/>
    </row>
    <row r="695" spans="1:9" x14ac:dyDescent="0.25">
      <c r="A695" s="2"/>
      <c r="B695" s="3"/>
      <c r="C695" s="3"/>
      <c r="D695" s="3"/>
      <c r="E695" s="3"/>
      <c r="F695" s="3"/>
      <c r="G695" s="3"/>
      <c r="H695" s="3"/>
      <c r="I695" s="3"/>
    </row>
    <row r="696" spans="1:9" x14ac:dyDescent="0.25">
      <c r="A696" s="2"/>
      <c r="B696" s="3"/>
      <c r="C696" s="3"/>
      <c r="D696" s="3"/>
      <c r="E696" s="3"/>
      <c r="F696" s="3"/>
      <c r="G696" s="3"/>
      <c r="H696" s="3"/>
      <c r="I696" s="3"/>
    </row>
    <row r="697" spans="1:9" x14ac:dyDescent="0.25">
      <c r="A697" s="2"/>
      <c r="B697" s="3"/>
      <c r="C697" s="3"/>
      <c r="D697" s="3"/>
      <c r="E697" s="3"/>
      <c r="F697" s="3"/>
      <c r="G697" s="3"/>
      <c r="H697" s="3"/>
      <c r="I697" s="3"/>
    </row>
    <row r="698" spans="1:9" x14ac:dyDescent="0.25">
      <c r="A698" s="2"/>
      <c r="B698" s="3"/>
      <c r="C698" s="3"/>
      <c r="D698" s="3"/>
      <c r="E698" s="3"/>
      <c r="F698" s="3"/>
      <c r="G698" s="3"/>
      <c r="H698" s="3"/>
      <c r="I698" s="3"/>
    </row>
    <row r="699" spans="1:9" x14ac:dyDescent="0.25">
      <c r="A699" s="2"/>
      <c r="B699" s="3"/>
      <c r="C699" s="3"/>
      <c r="D699" s="3"/>
      <c r="E699" s="3"/>
      <c r="F699" s="3"/>
      <c r="G699" s="3"/>
      <c r="H699" s="3"/>
      <c r="I699" s="3"/>
    </row>
    <row r="700" spans="1:9" x14ac:dyDescent="0.25">
      <c r="A700" s="2"/>
      <c r="B700" s="3"/>
      <c r="C700" s="3"/>
      <c r="D700" s="3"/>
      <c r="E700" s="3"/>
      <c r="F700" s="3"/>
      <c r="G700" s="3"/>
      <c r="H700" s="3"/>
      <c r="I700" s="3"/>
    </row>
    <row r="701" spans="1:9" x14ac:dyDescent="0.25">
      <c r="A701" s="2"/>
      <c r="B701" s="3"/>
      <c r="C701" s="3"/>
      <c r="D701" s="3"/>
      <c r="E701" s="3"/>
      <c r="F701" s="3"/>
      <c r="G701" s="3"/>
      <c r="H701" s="3"/>
      <c r="I701" s="3"/>
    </row>
    <row r="702" spans="1:9" x14ac:dyDescent="0.25">
      <c r="A702" s="2"/>
      <c r="B702" s="3"/>
      <c r="C702" s="3"/>
      <c r="D702" s="3"/>
      <c r="E702" s="3"/>
      <c r="F702" s="3"/>
      <c r="G702" s="3"/>
      <c r="H702" s="3"/>
      <c r="I702" s="3"/>
    </row>
    <row r="703" spans="1:9" x14ac:dyDescent="0.25">
      <c r="A703" s="2"/>
      <c r="B703" s="3"/>
      <c r="C703" s="3"/>
      <c r="D703" s="3"/>
      <c r="E703" s="3"/>
      <c r="F703" s="3"/>
      <c r="G703" s="3"/>
      <c r="H703" s="3"/>
      <c r="I703" s="3"/>
    </row>
    <row r="704" spans="1:9" x14ac:dyDescent="0.25">
      <c r="A704" s="2"/>
      <c r="B704" s="3"/>
      <c r="C704" s="3"/>
      <c r="D704" s="3"/>
      <c r="E704" s="3"/>
      <c r="F704" s="3"/>
      <c r="G704" s="3"/>
      <c r="H704" s="3"/>
      <c r="I704" s="3"/>
    </row>
    <row r="705" spans="1:9" x14ac:dyDescent="0.25">
      <c r="A705" s="2"/>
      <c r="B705" s="3"/>
      <c r="C705" s="3"/>
      <c r="D705" s="3"/>
      <c r="E705" s="3"/>
      <c r="F705" s="3"/>
      <c r="G705" s="3"/>
      <c r="H705" s="3"/>
      <c r="I705" s="3"/>
    </row>
    <row r="706" spans="1:9" x14ac:dyDescent="0.25">
      <c r="A706" s="2"/>
      <c r="B706" s="3"/>
      <c r="C706" s="3"/>
      <c r="D706" s="3"/>
      <c r="E706" s="3"/>
      <c r="F706" s="3"/>
      <c r="G706" s="3"/>
      <c r="H706" s="3"/>
      <c r="I706" s="3"/>
    </row>
    <row r="707" spans="1:9" x14ac:dyDescent="0.25">
      <c r="A707" s="2"/>
      <c r="B707" s="3"/>
      <c r="C707" s="3"/>
      <c r="D707" s="3"/>
      <c r="E707" s="3"/>
      <c r="F707" s="3"/>
      <c r="G707" s="3"/>
      <c r="H707" s="3"/>
      <c r="I707" s="3"/>
    </row>
    <row r="708" spans="1:9" x14ac:dyDescent="0.25">
      <c r="A708" s="2"/>
      <c r="B708" s="3"/>
      <c r="C708" s="3"/>
      <c r="D708" s="3"/>
      <c r="E708" s="3"/>
      <c r="F708" s="3"/>
      <c r="G708" s="3"/>
      <c r="H708" s="3"/>
      <c r="I708" s="3"/>
    </row>
    <row r="709" spans="1:9" x14ac:dyDescent="0.25">
      <c r="A709" s="2"/>
      <c r="B709" s="3"/>
      <c r="C709" s="3"/>
      <c r="D709" s="3"/>
      <c r="E709" s="3"/>
      <c r="F709" s="3"/>
      <c r="G709" s="3"/>
      <c r="H709" s="3"/>
      <c r="I709" s="3"/>
    </row>
    <row r="710" spans="1:9" x14ac:dyDescent="0.25">
      <c r="A710" s="2"/>
      <c r="B710" s="3"/>
      <c r="C710" s="3"/>
      <c r="D710" s="3"/>
      <c r="E710" s="3"/>
      <c r="F710" s="3"/>
      <c r="G710" s="3"/>
      <c r="H710" s="3"/>
      <c r="I710" s="3"/>
    </row>
    <row r="711" spans="1:9" x14ac:dyDescent="0.25">
      <c r="A711" s="2"/>
      <c r="B711" s="3"/>
      <c r="C711" s="3"/>
      <c r="D711" s="3"/>
      <c r="E711" s="3"/>
      <c r="F711" s="3"/>
      <c r="G711" s="3"/>
      <c r="H711" s="3"/>
      <c r="I711" s="3"/>
    </row>
    <row r="712" spans="1:9" x14ac:dyDescent="0.25">
      <c r="A712" s="2"/>
      <c r="B712" s="3"/>
      <c r="C712" s="3"/>
      <c r="D712" s="3"/>
      <c r="E712" s="3"/>
      <c r="F712" s="3"/>
      <c r="G712" s="3"/>
      <c r="H712" s="3"/>
      <c r="I712" s="3"/>
    </row>
    <row r="713" spans="1:9" x14ac:dyDescent="0.25">
      <c r="A713" s="2"/>
      <c r="B713" s="3"/>
      <c r="C713" s="3"/>
      <c r="D713" s="3"/>
      <c r="E713" s="3"/>
      <c r="F713" s="3"/>
      <c r="G713" s="3"/>
      <c r="H713" s="3"/>
      <c r="I713" s="3"/>
    </row>
    <row r="714" spans="1:9" x14ac:dyDescent="0.25">
      <c r="A714" s="2"/>
      <c r="B714" s="3"/>
      <c r="C714" s="3"/>
      <c r="D714" s="3"/>
      <c r="E714" s="3"/>
      <c r="F714" s="3"/>
      <c r="G714" s="3"/>
      <c r="H714" s="3"/>
      <c r="I714" s="3"/>
    </row>
    <row r="715" spans="1:9" x14ac:dyDescent="0.25">
      <c r="A715" s="2"/>
      <c r="B715" s="3"/>
      <c r="C715" s="3"/>
      <c r="D715" s="3"/>
      <c r="E715" s="3"/>
      <c r="F715" s="3"/>
      <c r="G715" s="3"/>
      <c r="H715" s="3"/>
      <c r="I715" s="3"/>
    </row>
    <row r="716" spans="1:9" x14ac:dyDescent="0.25">
      <c r="A716" s="2"/>
      <c r="B716" s="3"/>
      <c r="C716" s="3"/>
      <c r="D716" s="3"/>
      <c r="E716" s="3"/>
      <c r="F716" s="3"/>
      <c r="G716" s="3"/>
      <c r="H716" s="3"/>
      <c r="I716" s="3"/>
    </row>
    <row r="717" spans="1:9" x14ac:dyDescent="0.25">
      <c r="A717" s="2"/>
      <c r="B717" s="3"/>
      <c r="C717" s="3"/>
      <c r="D717" s="3"/>
      <c r="E717" s="3"/>
      <c r="F717" s="3"/>
      <c r="G717" s="3"/>
      <c r="H717" s="3"/>
      <c r="I717" s="3"/>
    </row>
    <row r="718" spans="1:9" x14ac:dyDescent="0.25">
      <c r="A718" s="2"/>
      <c r="B718" s="3"/>
      <c r="C718" s="3"/>
      <c r="D718" s="3"/>
      <c r="E718" s="3"/>
      <c r="F718" s="3"/>
      <c r="G718" s="3"/>
      <c r="H718" s="3"/>
      <c r="I718" s="3"/>
    </row>
    <row r="719" spans="1:9" x14ac:dyDescent="0.25">
      <c r="A719" s="2"/>
      <c r="B719" s="3"/>
      <c r="C719" s="3"/>
      <c r="D719" s="3"/>
      <c r="E719" s="3"/>
      <c r="F719" s="3"/>
      <c r="G719" s="3"/>
      <c r="H719" s="3"/>
      <c r="I719" s="3"/>
    </row>
    <row r="720" spans="1:9" x14ac:dyDescent="0.25">
      <c r="A720" s="2"/>
      <c r="B720" s="3"/>
      <c r="C720" s="3"/>
      <c r="D720" s="3"/>
      <c r="E720" s="3"/>
      <c r="F720" s="3"/>
      <c r="G720" s="3"/>
      <c r="H720" s="3"/>
      <c r="I720" s="3"/>
    </row>
    <row r="721" spans="1:9" x14ac:dyDescent="0.25">
      <c r="A721" s="2"/>
      <c r="B721" s="3"/>
      <c r="C721" s="3"/>
      <c r="D721" s="3"/>
      <c r="E721" s="3"/>
      <c r="F721" s="3"/>
      <c r="G721" s="3"/>
      <c r="H721" s="3"/>
      <c r="I721" s="3"/>
    </row>
    <row r="722" spans="1:9" x14ac:dyDescent="0.25">
      <c r="A722" s="2"/>
      <c r="B722" s="3"/>
      <c r="C722" s="3"/>
      <c r="D722" s="3"/>
      <c r="E722" s="3"/>
      <c r="F722" s="3"/>
      <c r="G722" s="3"/>
      <c r="H722" s="3"/>
      <c r="I722" s="3"/>
    </row>
    <row r="723" spans="1:9" x14ac:dyDescent="0.25">
      <c r="A723" s="2"/>
      <c r="B723" s="3"/>
      <c r="C723" s="3"/>
      <c r="D723" s="3"/>
      <c r="E723" s="3"/>
      <c r="F723" s="3"/>
      <c r="G723" s="3"/>
      <c r="H723" s="3"/>
      <c r="I723" s="3"/>
    </row>
    <row r="724" spans="1:9" x14ac:dyDescent="0.25">
      <c r="A724" s="2"/>
      <c r="B724" s="3"/>
      <c r="C724" s="3"/>
      <c r="D724" s="3"/>
      <c r="E724" s="3"/>
      <c r="F724" s="3"/>
      <c r="G724" s="3"/>
      <c r="H724" s="3"/>
      <c r="I724" s="3"/>
    </row>
    <row r="725" spans="1:9" x14ac:dyDescent="0.25">
      <c r="A725" s="2"/>
      <c r="B725" s="3"/>
      <c r="C725" s="3"/>
      <c r="D725" s="3"/>
      <c r="E725" s="3"/>
      <c r="F725" s="3"/>
      <c r="G725" s="3"/>
      <c r="H725" s="3"/>
      <c r="I725" s="3"/>
    </row>
    <row r="726" spans="1:9" x14ac:dyDescent="0.25">
      <c r="A726" s="2"/>
      <c r="B726" s="3"/>
      <c r="C726" s="3"/>
      <c r="D726" s="3"/>
      <c r="E726" s="3"/>
      <c r="F726" s="3"/>
      <c r="G726" s="3"/>
      <c r="H726" s="3"/>
      <c r="I726" s="3"/>
    </row>
    <row r="727" spans="1:9" x14ac:dyDescent="0.25">
      <c r="A727" s="2"/>
      <c r="B727" s="3"/>
      <c r="C727" s="3"/>
      <c r="D727" s="3"/>
      <c r="E727" s="3"/>
      <c r="F727" s="3"/>
      <c r="G727" s="3"/>
      <c r="H727" s="3"/>
      <c r="I727" s="3"/>
    </row>
    <row r="728" spans="1:9" x14ac:dyDescent="0.25">
      <c r="A728" s="2"/>
      <c r="B728" s="3"/>
      <c r="C728" s="3"/>
      <c r="D728" s="3"/>
      <c r="E728" s="3"/>
      <c r="F728" s="3"/>
      <c r="G728" s="3"/>
      <c r="H728" s="3"/>
      <c r="I728" s="3"/>
    </row>
    <row r="729" spans="1:9" x14ac:dyDescent="0.25">
      <c r="A729" s="2"/>
      <c r="B729" s="3"/>
      <c r="C729" s="3"/>
      <c r="D729" s="3"/>
      <c r="E729" s="3"/>
      <c r="F729" s="3"/>
      <c r="G729" s="3"/>
      <c r="H729" s="3"/>
      <c r="I729" s="3"/>
    </row>
    <row r="730" spans="1:9" x14ac:dyDescent="0.25">
      <c r="A730" s="2"/>
      <c r="B730" s="3"/>
      <c r="C730" s="3"/>
      <c r="D730" s="3"/>
      <c r="E730" s="3"/>
      <c r="F730" s="3"/>
      <c r="G730" s="3"/>
      <c r="H730" s="3"/>
      <c r="I730" s="3"/>
    </row>
    <row r="731" spans="1:9" x14ac:dyDescent="0.25">
      <c r="A731" s="2"/>
      <c r="B731" s="3"/>
      <c r="C731" s="3"/>
      <c r="D731" s="3"/>
      <c r="E731" s="3"/>
      <c r="F731" s="3"/>
      <c r="G731" s="3"/>
      <c r="H731" s="3"/>
      <c r="I731" s="3"/>
    </row>
    <row r="732" spans="1:9" x14ac:dyDescent="0.25">
      <c r="A732" s="2"/>
      <c r="B732" s="3"/>
      <c r="C732" s="3"/>
      <c r="D732" s="3"/>
      <c r="E732" s="3"/>
      <c r="F732" s="3"/>
      <c r="G732" s="3"/>
      <c r="H732" s="3"/>
      <c r="I732" s="3"/>
    </row>
    <row r="733" spans="1:9" x14ac:dyDescent="0.25">
      <c r="A733" s="2"/>
      <c r="B733" s="3"/>
      <c r="C733" s="3"/>
      <c r="D733" s="3"/>
      <c r="E733" s="3"/>
      <c r="F733" s="3"/>
      <c r="G733" s="3"/>
      <c r="H733" s="3"/>
      <c r="I733" s="3"/>
    </row>
    <row r="734" spans="1:9" x14ac:dyDescent="0.25">
      <c r="A734" s="2"/>
      <c r="B734" s="3"/>
      <c r="C734" s="3"/>
      <c r="D734" s="3"/>
      <c r="E734" s="3"/>
      <c r="F734" s="3"/>
      <c r="G734" s="3"/>
      <c r="H734" s="3"/>
      <c r="I734" s="3"/>
    </row>
    <row r="735" spans="1:9" x14ac:dyDescent="0.25">
      <c r="A735" s="2"/>
      <c r="B735" s="3"/>
      <c r="C735" s="3"/>
      <c r="D735" s="3"/>
      <c r="E735" s="3"/>
      <c r="F735" s="3"/>
      <c r="G735" s="3"/>
      <c r="H735" s="3"/>
      <c r="I735" s="3"/>
    </row>
    <row r="736" spans="1:9" x14ac:dyDescent="0.25">
      <c r="A736" s="2"/>
      <c r="B736" s="3"/>
      <c r="C736" s="3"/>
      <c r="D736" s="3"/>
      <c r="E736" s="3"/>
      <c r="F736" s="3"/>
      <c r="G736" s="3"/>
      <c r="H736" s="3"/>
      <c r="I736" s="3"/>
    </row>
    <row r="737" spans="1:9" x14ac:dyDescent="0.25">
      <c r="A737" s="2"/>
      <c r="B737" s="3"/>
      <c r="C737" s="3"/>
      <c r="D737" s="3"/>
      <c r="E737" s="3"/>
      <c r="F737" s="3"/>
      <c r="G737" s="3"/>
      <c r="H737" s="3"/>
      <c r="I737" s="3"/>
    </row>
    <row r="738" spans="1:9" x14ac:dyDescent="0.25">
      <c r="A738" s="2"/>
      <c r="B738" s="3"/>
      <c r="C738" s="3"/>
      <c r="D738" s="3"/>
      <c r="E738" s="3"/>
      <c r="F738" s="3"/>
      <c r="G738" s="3"/>
      <c r="H738" s="3"/>
      <c r="I738" s="3"/>
    </row>
    <row r="739" spans="1:9" x14ac:dyDescent="0.25">
      <c r="A739" s="2"/>
      <c r="B739" s="3"/>
      <c r="C739" s="3"/>
      <c r="D739" s="3"/>
      <c r="E739" s="3"/>
      <c r="F739" s="3"/>
      <c r="G739" s="3"/>
      <c r="H739" s="3"/>
      <c r="I739" s="3"/>
    </row>
    <row r="740" spans="1:9" x14ac:dyDescent="0.25">
      <c r="A740" s="2"/>
      <c r="B740" s="3"/>
      <c r="C740" s="3"/>
      <c r="D740" s="3"/>
      <c r="E740" s="3"/>
      <c r="F740" s="3"/>
      <c r="G740" s="3"/>
      <c r="H740" s="3"/>
      <c r="I740" s="3"/>
    </row>
    <row r="741" spans="1:9" x14ac:dyDescent="0.25">
      <c r="A741" s="2"/>
      <c r="B741" s="3"/>
      <c r="C741" s="3"/>
      <c r="D741" s="3"/>
      <c r="E741" s="3"/>
      <c r="F741" s="3"/>
      <c r="G741" s="3"/>
      <c r="H741" s="3"/>
      <c r="I741" s="3"/>
    </row>
    <row r="742" spans="1:9" x14ac:dyDescent="0.25">
      <c r="A742" s="2"/>
      <c r="B742" s="3"/>
      <c r="C742" s="3"/>
      <c r="D742" s="3"/>
      <c r="E742" s="3"/>
      <c r="F742" s="3"/>
      <c r="G742" s="3"/>
      <c r="H742" s="3"/>
      <c r="I742" s="3"/>
    </row>
    <row r="743" spans="1:9" x14ac:dyDescent="0.25">
      <c r="A743" s="2"/>
      <c r="B743" s="3"/>
      <c r="C743" s="3"/>
      <c r="D743" s="3"/>
      <c r="E743" s="3"/>
      <c r="F743" s="3"/>
      <c r="G743" s="3"/>
      <c r="H743" s="3"/>
      <c r="I743" s="3"/>
    </row>
    <row r="744" spans="1:9" x14ac:dyDescent="0.25">
      <c r="A744" s="2"/>
      <c r="B744" s="3"/>
      <c r="C744" s="3"/>
      <c r="D744" s="3"/>
      <c r="E744" s="3"/>
      <c r="F744" s="3"/>
      <c r="G744" s="3"/>
      <c r="H744" s="3"/>
      <c r="I744" s="3"/>
    </row>
    <row r="745" spans="1:9" x14ac:dyDescent="0.25">
      <c r="A745" s="2"/>
      <c r="B745" s="3"/>
      <c r="C745" s="3"/>
      <c r="D745" s="3"/>
      <c r="E745" s="3"/>
      <c r="F745" s="3"/>
      <c r="G745" s="3"/>
      <c r="H745" s="3"/>
      <c r="I745" s="3"/>
    </row>
    <row r="746" spans="1:9" x14ac:dyDescent="0.25">
      <c r="A746" s="2"/>
      <c r="B746" s="3"/>
      <c r="C746" s="3"/>
      <c r="D746" s="3"/>
      <c r="E746" s="3"/>
      <c r="F746" s="3"/>
      <c r="G746" s="3"/>
      <c r="H746" s="3"/>
      <c r="I746" s="3"/>
    </row>
    <row r="747" spans="1:9" x14ac:dyDescent="0.25">
      <c r="A747" s="2"/>
      <c r="B747" s="3"/>
      <c r="C747" s="3"/>
      <c r="D747" s="3"/>
      <c r="E747" s="3"/>
      <c r="F747" s="3"/>
      <c r="G747" s="3"/>
      <c r="H747" s="3"/>
      <c r="I747" s="3"/>
    </row>
    <row r="748" spans="1:9" x14ac:dyDescent="0.25">
      <c r="A748" s="2"/>
      <c r="B748" s="3"/>
      <c r="C748" s="3"/>
      <c r="D748" s="3"/>
      <c r="E748" s="3"/>
      <c r="F748" s="3"/>
      <c r="G748" s="3"/>
      <c r="H748" s="3"/>
      <c r="I748" s="3"/>
    </row>
    <row r="749" spans="1:9" x14ac:dyDescent="0.25">
      <c r="A749" s="2"/>
      <c r="B749" s="3"/>
      <c r="C749" s="3"/>
      <c r="D749" s="3"/>
      <c r="E749" s="3"/>
      <c r="F749" s="3"/>
      <c r="G749" s="3"/>
      <c r="H749" s="3"/>
      <c r="I749" s="3"/>
    </row>
    <row r="750" spans="1:9" x14ac:dyDescent="0.25">
      <c r="A750" s="2"/>
      <c r="B750" s="3"/>
      <c r="C750" s="3"/>
      <c r="D750" s="3"/>
      <c r="E750" s="3"/>
      <c r="F750" s="3"/>
      <c r="G750" s="3"/>
      <c r="H750" s="3"/>
      <c r="I750" s="3"/>
    </row>
    <row r="751" spans="1:9" x14ac:dyDescent="0.25">
      <c r="A751" s="2"/>
      <c r="B751" s="3"/>
      <c r="C751" s="3"/>
      <c r="D751" s="3"/>
      <c r="E751" s="3"/>
      <c r="F751" s="3"/>
      <c r="G751" s="3"/>
      <c r="H751" s="3"/>
      <c r="I751" s="3"/>
    </row>
    <row r="752" spans="1:9" x14ac:dyDescent="0.25">
      <c r="A752" s="2"/>
      <c r="B752" s="3"/>
      <c r="C752" s="3"/>
      <c r="D752" s="3"/>
      <c r="E752" s="3"/>
      <c r="F752" s="3"/>
      <c r="G752" s="3"/>
      <c r="H752" s="3"/>
      <c r="I752" s="3"/>
    </row>
    <row r="753" spans="1:9" x14ac:dyDescent="0.25">
      <c r="A753" s="2"/>
      <c r="B753" s="3"/>
      <c r="C753" s="3"/>
      <c r="D753" s="3"/>
      <c r="E753" s="3"/>
      <c r="F753" s="3"/>
      <c r="G753" s="3"/>
      <c r="H753" s="3"/>
      <c r="I753" s="3"/>
    </row>
    <row r="754" spans="1:9" x14ac:dyDescent="0.25">
      <c r="A754" s="2"/>
      <c r="B754" s="3"/>
      <c r="C754" s="3"/>
      <c r="D754" s="3"/>
      <c r="E754" s="3"/>
      <c r="F754" s="3"/>
      <c r="G754" s="3"/>
      <c r="H754" s="3"/>
      <c r="I754" s="3"/>
    </row>
    <row r="755" spans="1:9" x14ac:dyDescent="0.25">
      <c r="A755" s="2"/>
      <c r="B755" s="3"/>
      <c r="C755" s="3"/>
      <c r="D755" s="3"/>
      <c r="E755" s="3"/>
      <c r="F755" s="3"/>
      <c r="G755" s="3"/>
      <c r="H755" s="3"/>
      <c r="I755" s="3"/>
    </row>
    <row r="756" spans="1:9" x14ac:dyDescent="0.25">
      <c r="A756" s="2"/>
      <c r="B756" s="3"/>
      <c r="C756" s="3"/>
      <c r="D756" s="3"/>
      <c r="E756" s="3"/>
      <c r="F756" s="3"/>
      <c r="G756" s="3"/>
      <c r="H756" s="3"/>
      <c r="I756" s="3"/>
    </row>
    <row r="757" spans="1:9" x14ac:dyDescent="0.25">
      <c r="A757" s="2"/>
      <c r="B757" s="3"/>
      <c r="C757" s="3"/>
      <c r="D757" s="3"/>
      <c r="E757" s="3"/>
      <c r="F757" s="3"/>
      <c r="G757" s="3"/>
      <c r="H757" s="3"/>
      <c r="I757" s="3"/>
    </row>
    <row r="758" spans="1:9" x14ac:dyDescent="0.25">
      <c r="A758" s="2"/>
      <c r="B758" s="3"/>
      <c r="C758" s="3"/>
      <c r="D758" s="3"/>
      <c r="E758" s="3"/>
      <c r="F758" s="3"/>
      <c r="G758" s="3"/>
      <c r="H758" s="3"/>
      <c r="I758" s="3"/>
    </row>
    <row r="759" spans="1:9" x14ac:dyDescent="0.25">
      <c r="A759" s="2"/>
      <c r="B759" s="3"/>
      <c r="C759" s="3"/>
      <c r="D759" s="3"/>
      <c r="E759" s="3"/>
      <c r="F759" s="3"/>
      <c r="G759" s="3"/>
      <c r="H759" s="3"/>
      <c r="I759" s="3"/>
    </row>
    <row r="760" spans="1:9" x14ac:dyDescent="0.25">
      <c r="A760" s="2"/>
      <c r="B760" s="3"/>
      <c r="C760" s="3"/>
      <c r="D760" s="3"/>
      <c r="E760" s="3"/>
      <c r="F760" s="3"/>
      <c r="G760" s="3"/>
      <c r="H760" s="3"/>
      <c r="I760" s="3"/>
    </row>
    <row r="761" spans="1:9" x14ac:dyDescent="0.25">
      <c r="A761" s="2"/>
      <c r="B761" s="3"/>
      <c r="C761" s="3"/>
      <c r="D761" s="3"/>
      <c r="E761" s="3"/>
      <c r="F761" s="3"/>
      <c r="G761" s="3"/>
      <c r="H761" s="3"/>
      <c r="I761" s="3"/>
    </row>
    <row r="762" spans="1:9" x14ac:dyDescent="0.25">
      <c r="A762" s="2"/>
      <c r="B762" s="3"/>
      <c r="C762" s="3"/>
      <c r="D762" s="3"/>
      <c r="E762" s="3"/>
      <c r="F762" s="3"/>
      <c r="G762" s="3"/>
      <c r="H762" s="3"/>
      <c r="I762" s="3"/>
    </row>
    <row r="763" spans="1:9" x14ac:dyDescent="0.25">
      <c r="A763" s="2"/>
      <c r="B763" s="3"/>
      <c r="C763" s="3"/>
      <c r="D763" s="3"/>
      <c r="E763" s="3"/>
      <c r="F763" s="3"/>
      <c r="G763" s="3"/>
      <c r="H763" s="3"/>
      <c r="I763" s="3"/>
    </row>
    <row r="764" spans="1:9" x14ac:dyDescent="0.25">
      <c r="A764" s="2"/>
      <c r="B764" s="3"/>
      <c r="C764" s="3"/>
      <c r="D764" s="3"/>
      <c r="E764" s="3"/>
      <c r="F764" s="3"/>
      <c r="G764" s="3"/>
      <c r="H764" s="3"/>
      <c r="I764" s="3"/>
    </row>
    <row r="765" spans="1:9" x14ac:dyDescent="0.25">
      <c r="A765" s="2"/>
      <c r="B765" s="3"/>
      <c r="C765" s="3"/>
      <c r="D765" s="3"/>
      <c r="E765" s="3"/>
      <c r="F765" s="3"/>
      <c r="G765" s="3"/>
      <c r="H765" s="3"/>
      <c r="I765" s="3"/>
    </row>
    <row r="766" spans="1:9" x14ac:dyDescent="0.25">
      <c r="A766" s="2"/>
      <c r="B766" s="3"/>
      <c r="C766" s="3"/>
      <c r="D766" s="3"/>
      <c r="E766" s="3"/>
      <c r="F766" s="3"/>
      <c r="G766" s="3"/>
      <c r="H766" s="3"/>
      <c r="I766" s="3"/>
    </row>
    <row r="767" spans="1:9" x14ac:dyDescent="0.25">
      <c r="A767" s="2"/>
      <c r="B767" s="3"/>
      <c r="C767" s="3"/>
      <c r="D767" s="3"/>
      <c r="E767" s="3"/>
      <c r="F767" s="3"/>
      <c r="G767" s="3"/>
      <c r="H767" s="3"/>
      <c r="I767" s="3"/>
    </row>
    <row r="768" spans="1:9" x14ac:dyDescent="0.25">
      <c r="A768" s="2"/>
      <c r="B768" s="3"/>
      <c r="C768" s="3"/>
      <c r="D768" s="3"/>
      <c r="E768" s="3"/>
      <c r="F768" s="3"/>
      <c r="G768" s="3"/>
      <c r="H768" s="3"/>
      <c r="I768" s="3"/>
    </row>
    <row r="769" spans="1:9" x14ac:dyDescent="0.25">
      <c r="A769" s="2"/>
      <c r="B769" s="5"/>
      <c r="C769" s="4"/>
      <c r="D769" s="3"/>
      <c r="E769" s="3"/>
      <c r="F769" s="3"/>
      <c r="G769" s="3"/>
      <c r="H769" s="3"/>
      <c r="I769" s="3"/>
    </row>
    <row r="770" spans="1:9" x14ac:dyDescent="0.25">
      <c r="A770" s="2"/>
      <c r="B770" s="5"/>
      <c r="C770" s="4"/>
      <c r="D770" s="3"/>
      <c r="E770" s="3"/>
      <c r="F770" s="3"/>
      <c r="G770" s="3"/>
      <c r="H770" s="3"/>
      <c r="I770" s="3"/>
    </row>
    <row r="771" spans="1:9" x14ac:dyDescent="0.25">
      <c r="A771" s="2"/>
      <c r="B771" s="5"/>
      <c r="C771" s="4"/>
      <c r="D771" s="3"/>
      <c r="E771" s="3"/>
      <c r="F771" s="3"/>
      <c r="G771" s="3"/>
      <c r="H771" s="3"/>
      <c r="I771" s="3"/>
    </row>
    <row r="772" spans="1:9" x14ac:dyDescent="0.25">
      <c r="A772" s="2"/>
      <c r="B772" s="5"/>
      <c r="C772" s="4"/>
      <c r="D772" s="3"/>
      <c r="E772" s="3"/>
      <c r="F772" s="3"/>
      <c r="G772" s="3"/>
      <c r="H772" s="3"/>
      <c r="I772" s="3"/>
    </row>
    <row r="773" spans="1:9" x14ac:dyDescent="0.25">
      <c r="A773" s="2"/>
      <c r="B773" s="5"/>
      <c r="C773" s="4"/>
      <c r="D773" s="3"/>
      <c r="E773" s="3"/>
      <c r="F773" s="3"/>
      <c r="G773" s="3"/>
      <c r="H773" s="3"/>
      <c r="I773" s="3"/>
    </row>
    <row r="774" spans="1:9" x14ac:dyDescent="0.25">
      <c r="A774" s="2"/>
      <c r="B774" s="5"/>
      <c r="C774" s="4"/>
      <c r="D774" s="3"/>
      <c r="E774" s="3"/>
      <c r="F774" s="3"/>
      <c r="G774" s="3"/>
      <c r="H774" s="3"/>
      <c r="I774" s="3"/>
    </row>
    <row r="775" spans="1:9" x14ac:dyDescent="0.25">
      <c r="A775" s="2"/>
      <c r="B775" s="5"/>
      <c r="C775" s="4"/>
      <c r="D775" s="3"/>
      <c r="E775" s="3"/>
      <c r="F775" s="3"/>
      <c r="G775" s="3"/>
      <c r="H775" s="3"/>
      <c r="I775" s="3"/>
    </row>
    <row r="776" spans="1:9" x14ac:dyDescent="0.25">
      <c r="A776" s="2"/>
      <c r="B776" s="5"/>
      <c r="C776" s="4"/>
      <c r="D776" s="3"/>
      <c r="E776" s="3"/>
      <c r="F776" s="3"/>
      <c r="G776" s="3"/>
      <c r="H776" s="3"/>
      <c r="I776" s="3"/>
    </row>
    <row r="777" spans="1:9" x14ac:dyDescent="0.25">
      <c r="A777" s="2"/>
      <c r="B777" s="5"/>
      <c r="C777" s="4"/>
      <c r="D777" s="3"/>
      <c r="E777" s="3"/>
      <c r="F777" s="3"/>
      <c r="G777" s="3"/>
      <c r="H777" s="3"/>
      <c r="I777" s="3"/>
    </row>
    <row r="778" spans="1:9" x14ac:dyDescent="0.25">
      <c r="A778" s="2"/>
      <c r="B778" s="5"/>
      <c r="C778" s="4"/>
      <c r="D778" s="3"/>
      <c r="E778" s="3"/>
      <c r="F778" s="3"/>
      <c r="G778" s="3"/>
      <c r="H778" s="3"/>
      <c r="I778" s="3"/>
    </row>
    <row r="779" spans="1:9" x14ac:dyDescent="0.25">
      <c r="A779" s="2"/>
      <c r="B779" s="5"/>
      <c r="C779" s="4"/>
      <c r="D779" s="3"/>
      <c r="E779" s="3"/>
      <c r="F779" s="3"/>
      <c r="G779" s="3"/>
      <c r="H779" s="3"/>
      <c r="I779" s="3"/>
    </row>
    <row r="780" spans="1:9" x14ac:dyDescent="0.25">
      <c r="A780" s="2"/>
      <c r="B780" s="5"/>
      <c r="C780" s="4"/>
      <c r="D780" s="3"/>
      <c r="E780" s="3"/>
      <c r="F780" s="3"/>
      <c r="G780" s="3"/>
      <c r="H780" s="3"/>
      <c r="I780" s="3"/>
    </row>
    <row r="781" spans="1:9" x14ac:dyDescent="0.25">
      <c r="A781" s="2"/>
      <c r="B781" s="5"/>
      <c r="C781" s="4"/>
      <c r="D781" s="3"/>
      <c r="E781" s="3"/>
      <c r="F781" s="3"/>
      <c r="G781" s="3"/>
      <c r="H781" s="3"/>
      <c r="I781" s="3"/>
    </row>
    <row r="782" spans="1:9" x14ac:dyDescent="0.25">
      <c r="A782" s="2"/>
      <c r="B782" s="5"/>
      <c r="C782" s="4"/>
      <c r="D782" s="3"/>
      <c r="E782" s="3"/>
      <c r="F782" s="3"/>
      <c r="G782" s="3"/>
      <c r="H782" s="3"/>
      <c r="I782" s="3"/>
    </row>
    <row r="783" spans="1:9" x14ac:dyDescent="0.25">
      <c r="A783" s="2"/>
      <c r="B783" s="5"/>
      <c r="C783" s="4"/>
      <c r="D783" s="3"/>
      <c r="E783" s="3"/>
      <c r="F783" s="3"/>
      <c r="G783" s="3"/>
      <c r="H783" s="3"/>
      <c r="I783" s="3"/>
    </row>
    <row r="784" spans="1:9" x14ac:dyDescent="0.25">
      <c r="A784" s="2"/>
      <c r="B784" s="5"/>
      <c r="C784" s="4"/>
      <c r="D784" s="3"/>
      <c r="E784" s="3"/>
      <c r="F784" s="3"/>
      <c r="G784" s="3"/>
      <c r="H784" s="3"/>
      <c r="I784" s="3"/>
    </row>
    <row r="785" spans="1:9" x14ac:dyDescent="0.25">
      <c r="A785" s="2"/>
      <c r="B785" s="5"/>
      <c r="C785" s="4"/>
      <c r="D785" s="3"/>
      <c r="E785" s="3"/>
      <c r="F785" s="3"/>
      <c r="G785" s="3"/>
      <c r="H785" s="3"/>
      <c r="I785" s="3"/>
    </row>
    <row r="786" spans="1:9" x14ac:dyDescent="0.25">
      <c r="A786" s="2"/>
      <c r="B786" s="5"/>
      <c r="C786" s="4"/>
      <c r="D786" s="3"/>
      <c r="E786" s="3"/>
      <c r="F786" s="3"/>
      <c r="G786" s="3"/>
      <c r="H786" s="3"/>
      <c r="I786" s="3"/>
    </row>
    <row r="787" spans="1:9" x14ac:dyDescent="0.25">
      <c r="A787" s="2"/>
      <c r="B787" s="5"/>
      <c r="C787" s="4"/>
      <c r="D787" s="3"/>
      <c r="E787" s="3"/>
      <c r="F787" s="3"/>
      <c r="G787" s="3"/>
      <c r="H787" s="3"/>
      <c r="I787" s="3"/>
    </row>
    <row r="788" spans="1:9" x14ac:dyDescent="0.25">
      <c r="A788" s="2"/>
      <c r="B788" s="5"/>
      <c r="C788" s="4"/>
      <c r="D788" s="3"/>
      <c r="E788" s="3"/>
      <c r="F788" s="3"/>
      <c r="G788" s="3"/>
      <c r="H788" s="3"/>
      <c r="I788" s="3"/>
    </row>
    <row r="789" spans="1:9" x14ac:dyDescent="0.25">
      <c r="A789" s="2"/>
      <c r="B789" s="5"/>
      <c r="C789" s="4"/>
      <c r="D789" s="3"/>
      <c r="E789" s="3"/>
      <c r="F789" s="3"/>
      <c r="G789" s="3"/>
      <c r="H789" s="3"/>
      <c r="I789" s="3"/>
    </row>
    <row r="790" spans="1:9" x14ac:dyDescent="0.25">
      <c r="A790" s="2"/>
      <c r="B790" s="5"/>
      <c r="C790" s="4"/>
      <c r="D790" s="3"/>
      <c r="E790" s="3"/>
      <c r="F790" s="3"/>
      <c r="G790" s="3"/>
      <c r="H790" s="3"/>
      <c r="I790" s="3"/>
    </row>
    <row r="791" spans="1:9" x14ac:dyDescent="0.25">
      <c r="A791" s="2"/>
      <c r="B791" s="5"/>
      <c r="C791" s="4"/>
      <c r="D791" s="3"/>
      <c r="E791" s="3"/>
      <c r="F791" s="3"/>
      <c r="G791" s="3"/>
      <c r="H791" s="3"/>
      <c r="I791" s="3"/>
    </row>
    <row r="792" spans="1:9" x14ac:dyDescent="0.25">
      <c r="A792" s="2"/>
      <c r="B792" s="5"/>
      <c r="C792" s="4"/>
      <c r="D792" s="3"/>
      <c r="E792" s="3"/>
      <c r="F792" s="3"/>
      <c r="G792" s="3"/>
      <c r="H792" s="3"/>
      <c r="I792" s="3"/>
    </row>
    <row r="793" spans="1:9" x14ac:dyDescent="0.25">
      <c r="A793" s="2"/>
      <c r="B793" s="5"/>
      <c r="C793" s="4"/>
      <c r="D793" s="3"/>
      <c r="E793" s="3"/>
      <c r="F793" s="3"/>
      <c r="G793" s="3"/>
      <c r="H793" s="3"/>
      <c r="I793" s="3"/>
    </row>
    <row r="794" spans="1:9" x14ac:dyDescent="0.25">
      <c r="A794" s="2"/>
      <c r="B794" s="5"/>
      <c r="C794" s="4"/>
      <c r="D794" s="3"/>
      <c r="E794" s="3"/>
      <c r="F794" s="3"/>
      <c r="G794" s="3"/>
      <c r="H794" s="3"/>
      <c r="I794" s="3"/>
    </row>
    <row r="795" spans="1:9" x14ac:dyDescent="0.25">
      <c r="A795" s="2"/>
      <c r="B795" s="5"/>
      <c r="C795" s="4"/>
      <c r="D795" s="3"/>
      <c r="E795" s="3"/>
      <c r="F795" s="3"/>
      <c r="G795" s="3"/>
      <c r="H795" s="3"/>
      <c r="I795" s="3"/>
    </row>
    <row r="796" spans="1:9" x14ac:dyDescent="0.25">
      <c r="A796" s="2"/>
      <c r="B796" s="5"/>
      <c r="C796" s="4"/>
      <c r="D796" s="3"/>
      <c r="E796" s="3"/>
      <c r="F796" s="3"/>
      <c r="G796" s="3"/>
      <c r="H796" s="3"/>
      <c r="I796" s="3"/>
    </row>
    <row r="797" spans="1:9" x14ac:dyDescent="0.25">
      <c r="A797" s="2"/>
      <c r="B797" s="5"/>
      <c r="C797" s="4"/>
      <c r="D797" s="3"/>
      <c r="E797" s="3"/>
      <c r="F797" s="3"/>
      <c r="G797" s="3"/>
      <c r="H797" s="3"/>
      <c r="I797" s="3"/>
    </row>
    <row r="798" spans="1:9" x14ac:dyDescent="0.25">
      <c r="A798" s="2"/>
      <c r="B798" s="5"/>
      <c r="C798" s="4"/>
      <c r="D798" s="3"/>
      <c r="E798" s="3"/>
      <c r="F798" s="3"/>
      <c r="G798" s="3"/>
      <c r="H798" s="3"/>
      <c r="I798" s="3"/>
    </row>
    <row r="799" spans="1:9" x14ac:dyDescent="0.25">
      <c r="A799" s="2"/>
      <c r="B799" s="5"/>
      <c r="C799" s="4"/>
      <c r="D799" s="3"/>
      <c r="E799" s="3"/>
      <c r="F799" s="3"/>
      <c r="G799" s="3"/>
      <c r="H799" s="3"/>
      <c r="I799" s="3"/>
    </row>
    <row r="800" spans="1:9" x14ac:dyDescent="0.25">
      <c r="A800" s="2"/>
      <c r="B800" s="5"/>
      <c r="C800" s="4"/>
      <c r="D800" s="3"/>
      <c r="E800" s="3"/>
      <c r="F800" s="3"/>
      <c r="G800" s="3"/>
      <c r="H800" s="3"/>
      <c r="I800" s="3"/>
    </row>
    <row r="801" spans="1:10" x14ac:dyDescent="0.25">
      <c r="A801" s="2"/>
      <c r="B801" s="5"/>
      <c r="C801" s="4"/>
      <c r="D801" s="3"/>
      <c r="E801" s="3"/>
      <c r="F801" s="3"/>
      <c r="G801" s="3"/>
      <c r="H801" s="3"/>
      <c r="I801" s="3"/>
    </row>
    <row r="802" spans="1:10" x14ac:dyDescent="0.25">
      <c r="A802" s="2"/>
      <c r="B802" s="5"/>
      <c r="C802" s="4"/>
      <c r="D802" s="3"/>
      <c r="E802" s="3"/>
      <c r="F802" s="3"/>
      <c r="G802" s="3"/>
      <c r="H802" s="3"/>
      <c r="I802" s="3"/>
    </row>
    <row r="803" spans="1:10" x14ac:dyDescent="0.25">
      <c r="A803" s="2"/>
      <c r="B803" s="5"/>
      <c r="C803" s="4"/>
      <c r="D803" s="3"/>
      <c r="E803" s="3"/>
      <c r="F803" s="3"/>
      <c r="G803" s="3"/>
      <c r="H803" s="3"/>
      <c r="I803" s="3"/>
    </row>
    <row r="804" spans="1:10" x14ac:dyDescent="0.25">
      <c r="A804" s="2"/>
      <c r="B804" s="5"/>
      <c r="C804" s="4"/>
      <c r="D804" s="3"/>
      <c r="E804" s="3"/>
      <c r="F804" s="3"/>
      <c r="G804" s="3"/>
      <c r="H804" s="3"/>
      <c r="I804" s="3"/>
    </row>
    <row r="805" spans="1:10" x14ac:dyDescent="0.25">
      <c r="A805" s="2"/>
      <c r="B805" s="5"/>
      <c r="C805" s="4"/>
      <c r="D805" s="3"/>
      <c r="E805" s="3"/>
      <c r="F805" s="3"/>
      <c r="G805" s="3"/>
      <c r="H805" s="3"/>
      <c r="I805" s="3"/>
    </row>
    <row r="806" spans="1:10" x14ac:dyDescent="0.25">
      <c r="A806" s="2"/>
      <c r="B806" s="5"/>
      <c r="C806" s="4"/>
      <c r="D806" s="3"/>
      <c r="E806" s="3"/>
      <c r="F806" s="3"/>
      <c r="G806" s="3"/>
      <c r="H806" s="3"/>
      <c r="I806" s="3"/>
    </row>
    <row r="807" spans="1:10" x14ac:dyDescent="0.25">
      <c r="A807" s="2"/>
      <c r="B807" s="5"/>
      <c r="C807" s="4"/>
      <c r="D807" s="3"/>
      <c r="E807" s="3"/>
      <c r="F807" s="3"/>
      <c r="G807" s="3"/>
      <c r="H807" s="3"/>
      <c r="I807" s="3"/>
    </row>
    <row r="808" spans="1:10" x14ac:dyDescent="0.25">
      <c r="A808" s="2"/>
      <c r="B808" s="5"/>
      <c r="C808" s="4"/>
      <c r="D808" s="4"/>
      <c r="E808" s="3"/>
      <c r="F808" s="3"/>
      <c r="G808" s="3"/>
      <c r="H808" s="3"/>
      <c r="I808" s="3"/>
      <c r="J808" s="3"/>
    </row>
    <row r="809" spans="1:10" x14ac:dyDescent="0.25">
      <c r="A809" s="2"/>
      <c r="B809" s="5"/>
      <c r="C809" s="4"/>
      <c r="D809" s="4"/>
      <c r="E809" s="3"/>
      <c r="F809" s="3"/>
      <c r="G809" s="3"/>
      <c r="H809" s="3"/>
      <c r="I809" s="3"/>
      <c r="J809" s="3"/>
    </row>
    <row r="810" spans="1:10" x14ac:dyDescent="0.25">
      <c r="A810" s="2"/>
      <c r="B810" s="5"/>
      <c r="C810" s="4"/>
      <c r="D810" s="3"/>
      <c r="E810" s="3"/>
      <c r="F810" s="3"/>
      <c r="G810" s="3"/>
      <c r="H810" s="3"/>
      <c r="I810" s="3"/>
    </row>
    <row r="811" spans="1:10" x14ac:dyDescent="0.25">
      <c r="A811" s="2"/>
      <c r="B811" s="5"/>
      <c r="C811" s="4"/>
      <c r="D811" s="3"/>
      <c r="E811" s="3"/>
      <c r="F811" s="3"/>
      <c r="G811" s="3"/>
      <c r="H811" s="3"/>
      <c r="I811" s="3"/>
    </row>
    <row r="812" spans="1:10" x14ac:dyDescent="0.25">
      <c r="A812" s="2"/>
      <c r="B812" s="5"/>
      <c r="C812" s="4"/>
      <c r="D812" s="3"/>
      <c r="E812" s="3"/>
      <c r="F812" s="3"/>
      <c r="G812" s="3"/>
      <c r="H812" s="3"/>
      <c r="I812" s="3"/>
    </row>
    <row r="813" spans="1:10" x14ac:dyDescent="0.25">
      <c r="A813" s="2"/>
      <c r="B813" s="5"/>
      <c r="C813" s="4"/>
      <c r="D813" s="3"/>
      <c r="E813" s="3"/>
      <c r="F813" s="3"/>
      <c r="G813" s="3"/>
      <c r="H813" s="3"/>
      <c r="I813" s="3"/>
    </row>
    <row r="814" spans="1:10" x14ac:dyDescent="0.25">
      <c r="A814" s="2"/>
      <c r="B814" s="5"/>
      <c r="C814" s="4"/>
      <c r="D814" s="3"/>
      <c r="E814" s="3"/>
      <c r="F814" s="3"/>
      <c r="G814" s="3"/>
      <c r="H814" s="3"/>
      <c r="I814" s="3"/>
    </row>
    <row r="815" spans="1:10" x14ac:dyDescent="0.25">
      <c r="A815" s="2"/>
      <c r="B815" s="5"/>
      <c r="C815" s="4"/>
      <c r="D815" s="3"/>
      <c r="E815" s="3"/>
      <c r="F815" s="3"/>
      <c r="G815" s="3"/>
      <c r="H815" s="3"/>
      <c r="I815" s="3"/>
    </row>
    <row r="816" spans="1:10" x14ac:dyDescent="0.25">
      <c r="A816" s="2"/>
      <c r="B816" s="5"/>
      <c r="C816" s="4"/>
      <c r="D816" s="3"/>
      <c r="E816" s="3"/>
      <c r="F816" s="3"/>
      <c r="G816" s="3"/>
      <c r="H816" s="3"/>
    </row>
    <row r="817" spans="1:9" x14ac:dyDescent="0.25">
      <c r="A817" s="2"/>
      <c r="B817" s="5"/>
      <c r="C817" s="4"/>
      <c r="D817" s="3"/>
      <c r="E817" s="3"/>
      <c r="F817" s="3"/>
      <c r="G817" s="3"/>
      <c r="H817" s="3"/>
    </row>
    <row r="818" spans="1:9" x14ac:dyDescent="0.25">
      <c r="A818" s="2"/>
      <c r="B818" s="5"/>
      <c r="C818" s="4"/>
      <c r="D818" s="3"/>
      <c r="E818" s="3"/>
      <c r="F818" s="3"/>
      <c r="G818" s="3"/>
      <c r="H818" s="3"/>
      <c r="I818" s="3"/>
    </row>
    <row r="819" spans="1:9" x14ac:dyDescent="0.25">
      <c r="A819" s="2"/>
      <c r="B819" s="5"/>
      <c r="C819" s="4"/>
      <c r="D819" s="3"/>
      <c r="E819" s="3"/>
      <c r="F819" s="3"/>
      <c r="G819" s="3"/>
      <c r="H819" s="3"/>
      <c r="I819" s="3"/>
    </row>
    <row r="820" spans="1:9" x14ac:dyDescent="0.25">
      <c r="A820" s="2"/>
      <c r="B820" s="5"/>
      <c r="C820" s="4"/>
      <c r="D820" s="3"/>
      <c r="E820" s="3"/>
      <c r="F820" s="3"/>
      <c r="G820" s="3"/>
      <c r="H820" s="3"/>
      <c r="I820" s="3"/>
    </row>
    <row r="821" spans="1:9" x14ac:dyDescent="0.25">
      <c r="A821" s="2"/>
      <c r="B821" s="5"/>
      <c r="C821" s="4"/>
      <c r="D821" s="3"/>
      <c r="E821" s="3"/>
      <c r="F821" s="3"/>
      <c r="G821" s="3"/>
      <c r="H821" s="3"/>
      <c r="I821" s="3"/>
    </row>
    <row r="822" spans="1:9" x14ac:dyDescent="0.25">
      <c r="A822" s="2"/>
      <c r="B822" s="5"/>
      <c r="C822" s="4"/>
      <c r="D822" s="3"/>
      <c r="E822" s="3"/>
      <c r="F822" s="3"/>
      <c r="G822" s="3"/>
      <c r="H822" s="3"/>
    </row>
    <row r="823" spans="1:9" x14ac:dyDescent="0.25">
      <c r="A823" s="2"/>
      <c r="B823" s="5"/>
      <c r="C823" s="4"/>
      <c r="D823" s="3"/>
      <c r="E823" s="3"/>
      <c r="F823" s="3"/>
      <c r="G823" s="3"/>
      <c r="H823" s="3"/>
      <c r="I823" s="3"/>
    </row>
    <row r="824" spans="1:9" x14ac:dyDescent="0.25">
      <c r="A824" s="2"/>
      <c r="B824" s="5"/>
      <c r="C824" s="4"/>
      <c r="D824" s="3"/>
      <c r="E824" s="3"/>
      <c r="F824" s="3"/>
      <c r="G824" s="3"/>
      <c r="H824" s="3"/>
      <c r="I824" s="3"/>
    </row>
    <row r="825" spans="1:9" x14ac:dyDescent="0.25">
      <c r="A825" s="2"/>
      <c r="B825" s="5"/>
      <c r="C825" s="4"/>
      <c r="D825" s="3"/>
      <c r="E825" s="3"/>
      <c r="F825" s="3"/>
      <c r="G825" s="3"/>
      <c r="H825" s="3"/>
      <c r="I825" s="3"/>
    </row>
    <row r="826" spans="1:9" x14ac:dyDescent="0.25">
      <c r="A826" s="2"/>
      <c r="B826" s="5"/>
      <c r="C826" s="4"/>
      <c r="D826" s="3"/>
      <c r="E826" s="3"/>
      <c r="F826" s="3"/>
      <c r="G826" s="3"/>
      <c r="H826" s="3"/>
      <c r="I826" s="3"/>
    </row>
    <row r="827" spans="1:9" x14ac:dyDescent="0.25">
      <c r="A827" s="2"/>
      <c r="B827" s="5"/>
      <c r="C827" s="4"/>
      <c r="D827" s="3"/>
      <c r="E827" s="3"/>
      <c r="F827" s="3"/>
      <c r="G827" s="3"/>
      <c r="H827" s="3"/>
    </row>
    <row r="828" spans="1:9" x14ac:dyDescent="0.25">
      <c r="A828" s="2"/>
      <c r="B828" s="5"/>
      <c r="C828" s="4"/>
      <c r="D828" s="3"/>
      <c r="E828" s="3"/>
      <c r="F828" s="3"/>
      <c r="G828" s="3"/>
      <c r="H828" s="3"/>
      <c r="I828" s="3"/>
    </row>
    <row r="829" spans="1:9" x14ac:dyDescent="0.25">
      <c r="A829" s="2"/>
      <c r="B829" s="5"/>
      <c r="C829" s="4"/>
      <c r="D829" s="3"/>
      <c r="E829" s="3"/>
      <c r="F829" s="3"/>
      <c r="G829" s="3"/>
      <c r="H829" s="3"/>
      <c r="I829" s="3"/>
    </row>
    <row r="830" spans="1:9" x14ac:dyDescent="0.25">
      <c r="A830" s="2"/>
      <c r="B830" s="5"/>
      <c r="C830" s="4"/>
      <c r="D830" s="3"/>
      <c r="E830" s="3"/>
      <c r="F830" s="3"/>
      <c r="G830" s="3"/>
      <c r="H830" s="3"/>
      <c r="I830" s="3"/>
    </row>
    <row r="831" spans="1:9" x14ac:dyDescent="0.25">
      <c r="A831" s="2"/>
      <c r="B831" s="5"/>
      <c r="C831" s="4"/>
      <c r="D831" s="3"/>
      <c r="E831" s="3"/>
      <c r="F831" s="3"/>
      <c r="G831" s="3"/>
      <c r="H831" s="3"/>
      <c r="I831" s="3"/>
    </row>
    <row r="832" spans="1:9" x14ac:dyDescent="0.25">
      <c r="A832" s="2"/>
      <c r="B832" s="4"/>
      <c r="C832" s="4"/>
      <c r="D832" s="3"/>
      <c r="E832" s="3"/>
      <c r="F832" s="3"/>
      <c r="G832" s="3"/>
      <c r="H832" s="3"/>
    </row>
    <row r="833" spans="1:9" x14ac:dyDescent="0.25">
      <c r="A833" s="2"/>
      <c r="B833" s="4"/>
      <c r="C833" s="4"/>
      <c r="D833" s="3"/>
      <c r="E833" s="3"/>
      <c r="F833" s="3"/>
      <c r="G833" s="3"/>
      <c r="H833" s="3"/>
    </row>
    <row r="834" spans="1:9" x14ac:dyDescent="0.25">
      <c r="A834" s="2"/>
      <c r="B834" s="4"/>
      <c r="C834" s="4"/>
      <c r="D834" s="3"/>
      <c r="E834" s="3"/>
      <c r="F834" s="3"/>
      <c r="G834" s="3"/>
      <c r="H834" s="3"/>
      <c r="I834" s="3"/>
    </row>
    <row r="835" spans="1:9" x14ac:dyDescent="0.25">
      <c r="A835" s="2"/>
      <c r="B835" s="4"/>
      <c r="C835" s="4"/>
      <c r="D835" s="3"/>
      <c r="E835" s="3"/>
      <c r="F835" s="3"/>
      <c r="G835" s="3"/>
      <c r="H835" s="3"/>
      <c r="I835" s="3"/>
    </row>
    <row r="836" spans="1:9" x14ac:dyDescent="0.25">
      <c r="A836" s="2"/>
      <c r="B836" s="4"/>
      <c r="C836" s="4"/>
      <c r="D836" s="3"/>
      <c r="E836" s="3"/>
      <c r="F836" s="3"/>
      <c r="G836" s="3"/>
      <c r="H836" s="3"/>
      <c r="I836" s="3"/>
    </row>
    <row r="837" spans="1:9" x14ac:dyDescent="0.25">
      <c r="A837" s="2"/>
      <c r="B837" s="4"/>
      <c r="C837" s="4"/>
      <c r="D837" s="3"/>
      <c r="E837" s="3"/>
      <c r="F837" s="3"/>
      <c r="G837" s="3"/>
      <c r="H837" s="3"/>
      <c r="I837" s="3"/>
    </row>
    <row r="838" spans="1:9" x14ac:dyDescent="0.25">
      <c r="A838" s="2"/>
      <c r="B838" s="4"/>
      <c r="C838" s="4"/>
      <c r="D838" s="3"/>
      <c r="E838" s="3"/>
      <c r="F838" s="3"/>
      <c r="G838" s="3"/>
      <c r="H838" s="3"/>
    </row>
    <row r="839" spans="1:9" x14ac:dyDescent="0.25">
      <c r="A839" s="2"/>
      <c r="B839" s="4"/>
      <c r="C839" s="4"/>
      <c r="D839" s="3"/>
      <c r="E839" s="3"/>
      <c r="F839" s="3"/>
      <c r="G839" s="3"/>
      <c r="H839" s="3"/>
      <c r="I839" s="3"/>
    </row>
    <row r="840" spans="1:9" x14ac:dyDescent="0.25">
      <c r="A840" s="2"/>
      <c r="B840" s="4"/>
      <c r="C840" s="4"/>
      <c r="D840" s="3"/>
      <c r="E840" s="3"/>
      <c r="F840" s="3"/>
      <c r="G840" s="3"/>
      <c r="H840" s="3"/>
      <c r="I840" s="3"/>
    </row>
    <row r="841" spans="1:9" x14ac:dyDescent="0.25">
      <c r="A841" s="2"/>
      <c r="B841" s="4"/>
      <c r="C841" s="4"/>
      <c r="D841" s="3"/>
      <c r="E841" s="3"/>
      <c r="F841" s="3"/>
      <c r="G841" s="3"/>
      <c r="H841" s="3"/>
      <c r="I841" s="3"/>
    </row>
    <row r="842" spans="1:9" x14ac:dyDescent="0.25">
      <c r="A842" s="2"/>
      <c r="B842" s="4"/>
      <c r="C842" s="4"/>
      <c r="D842" s="3"/>
      <c r="E842" s="3"/>
      <c r="F842" s="3"/>
      <c r="G842" s="3"/>
      <c r="H842" s="3"/>
      <c r="I842" s="3"/>
    </row>
    <row r="843" spans="1:9" x14ac:dyDescent="0.25">
      <c r="A843" s="2"/>
      <c r="B843" s="4"/>
      <c r="C843" s="4"/>
      <c r="D843" s="3"/>
      <c r="E843" s="3"/>
      <c r="F843" s="3"/>
      <c r="G843" s="3"/>
      <c r="H843" s="3"/>
    </row>
    <row r="844" spans="1:9" x14ac:dyDescent="0.25">
      <c r="A844" s="2"/>
      <c r="B844" s="4"/>
      <c r="C844" s="4"/>
      <c r="D844" s="3"/>
      <c r="E844" s="3"/>
      <c r="F844" s="3"/>
      <c r="G844" s="3"/>
      <c r="H844" s="3"/>
      <c r="I844" s="3"/>
    </row>
    <row r="845" spans="1:9" x14ac:dyDescent="0.25">
      <c r="A845" s="2"/>
      <c r="B845" s="4"/>
      <c r="C845" s="4"/>
      <c r="D845" s="3"/>
      <c r="E845" s="3"/>
      <c r="F845" s="3"/>
      <c r="G845" s="3"/>
      <c r="H845" s="3"/>
      <c r="I845" s="3"/>
    </row>
    <row r="846" spans="1:9" x14ac:dyDescent="0.25">
      <c r="A846" s="2"/>
      <c r="B846" s="4"/>
      <c r="C846" s="4"/>
      <c r="D846" s="3"/>
      <c r="E846" s="3"/>
      <c r="F846" s="3"/>
      <c r="G846" s="3"/>
      <c r="H846" s="3"/>
      <c r="I846" s="3"/>
    </row>
    <row r="847" spans="1:9" x14ac:dyDescent="0.25">
      <c r="A847" s="2"/>
      <c r="B847" s="4"/>
      <c r="C847" s="4"/>
      <c r="D847" s="3"/>
      <c r="E847" s="3"/>
      <c r="F847" s="3"/>
      <c r="G847" s="3"/>
      <c r="H847" s="3"/>
      <c r="I847" s="3"/>
    </row>
    <row r="848" spans="1:9" x14ac:dyDescent="0.25">
      <c r="A848" s="2"/>
      <c r="B848" s="4"/>
      <c r="C848" s="4"/>
      <c r="D848" s="3"/>
      <c r="E848" s="3"/>
      <c r="F848" s="3"/>
      <c r="G848" s="3"/>
      <c r="H848" s="3"/>
    </row>
    <row r="849" spans="1:9" x14ac:dyDescent="0.25">
      <c r="A849" s="2"/>
      <c r="B849" s="4"/>
      <c r="C849" s="4"/>
      <c r="D849" s="3"/>
      <c r="E849" s="3"/>
      <c r="F849" s="3"/>
      <c r="G849" s="3"/>
      <c r="H849" s="3"/>
    </row>
    <row r="850" spans="1:9" x14ac:dyDescent="0.25">
      <c r="A850" s="2"/>
      <c r="B850" s="4"/>
      <c r="C850" s="4"/>
      <c r="D850" s="3"/>
      <c r="E850" s="3"/>
      <c r="F850" s="3"/>
      <c r="G850" s="3"/>
      <c r="H850" s="3"/>
      <c r="I850" s="3"/>
    </row>
    <row r="851" spans="1:9" x14ac:dyDescent="0.25">
      <c r="A851" s="2"/>
      <c r="B851" s="4"/>
      <c r="C851" s="4"/>
      <c r="D851" s="3"/>
      <c r="E851" s="3"/>
      <c r="F851" s="3"/>
      <c r="G851" s="3"/>
      <c r="H851" s="3"/>
      <c r="I851" s="3"/>
    </row>
    <row r="852" spans="1:9" x14ac:dyDescent="0.25">
      <c r="A852" s="2"/>
      <c r="B852" s="4"/>
      <c r="C852" s="4"/>
      <c r="D852" s="3"/>
      <c r="E852" s="3"/>
      <c r="F852" s="3"/>
      <c r="G852" s="3"/>
      <c r="H852" s="3"/>
      <c r="I852" s="3"/>
    </row>
    <row r="853" spans="1:9" x14ac:dyDescent="0.25">
      <c r="A853" s="2"/>
      <c r="B853" s="4"/>
      <c r="C853" s="4"/>
      <c r="D853" s="3"/>
      <c r="E853" s="3"/>
      <c r="F853" s="3"/>
      <c r="G853" s="3"/>
      <c r="H853" s="3"/>
      <c r="I853" s="3"/>
    </row>
    <row r="854" spans="1:9" x14ac:dyDescent="0.25">
      <c r="A854" s="2"/>
      <c r="B854" s="4"/>
      <c r="C854" s="4"/>
      <c r="D854" s="3"/>
      <c r="E854" s="3"/>
      <c r="F854" s="3"/>
      <c r="G854" s="3"/>
      <c r="H854" s="3"/>
      <c r="I854" s="3"/>
    </row>
    <row r="855" spans="1:9" x14ac:dyDescent="0.25">
      <c r="A855" s="2"/>
      <c r="B855" s="4"/>
      <c r="C855" s="4"/>
      <c r="D855" s="3"/>
      <c r="E855" s="3"/>
      <c r="F855" s="3"/>
      <c r="G855" s="3"/>
      <c r="H855" s="3"/>
      <c r="I855" s="3"/>
    </row>
    <row r="856" spans="1:9" x14ac:dyDescent="0.25">
      <c r="A856" s="2"/>
      <c r="B856" s="4"/>
      <c r="C856" s="4"/>
      <c r="D856" s="3"/>
      <c r="E856" s="3"/>
      <c r="F856" s="3"/>
      <c r="G856" s="3"/>
      <c r="H856" s="3"/>
      <c r="I856" s="3"/>
    </row>
    <row r="857" spans="1:9" x14ac:dyDescent="0.25">
      <c r="A857" s="2"/>
      <c r="B857" s="4"/>
      <c r="C857" s="4"/>
      <c r="D857" s="3"/>
      <c r="E857" s="3"/>
      <c r="F857" s="3"/>
      <c r="G857" s="3"/>
      <c r="H857" s="3"/>
      <c r="I857" s="3"/>
    </row>
    <row r="858" spans="1:9" x14ac:dyDescent="0.25">
      <c r="A858" s="2"/>
      <c r="B858" s="9"/>
      <c r="C858" s="8"/>
      <c r="D858" s="3"/>
      <c r="E858" s="3"/>
      <c r="F858" s="3"/>
      <c r="G858" s="3"/>
      <c r="H858" s="3"/>
      <c r="I858" s="3"/>
    </row>
    <row r="859" spans="1:9" x14ac:dyDescent="0.25">
      <c r="A859" s="2"/>
      <c r="B859" s="9"/>
      <c r="C859" s="8"/>
      <c r="D859" s="3"/>
      <c r="E859" s="3"/>
      <c r="F859" s="3"/>
      <c r="G859" s="3"/>
      <c r="H859" s="3"/>
      <c r="I859" s="3"/>
    </row>
    <row r="860" spans="1:9" x14ac:dyDescent="0.25">
      <c r="A860" s="2"/>
      <c r="B860" s="9"/>
      <c r="C860" s="8"/>
      <c r="D860" s="3"/>
      <c r="E860" s="3"/>
      <c r="F860" s="3"/>
      <c r="G860" s="3"/>
      <c r="H860" s="3"/>
      <c r="I860" s="3"/>
    </row>
    <row r="861" spans="1:9" x14ac:dyDescent="0.25">
      <c r="A861" s="2"/>
      <c r="B861" s="9"/>
      <c r="C861" s="8"/>
      <c r="D861" s="3"/>
      <c r="E861" s="3"/>
      <c r="F861" s="3"/>
      <c r="G861" s="3"/>
      <c r="H861" s="3"/>
      <c r="I861" s="3"/>
    </row>
    <row r="862" spans="1:9" x14ac:dyDescent="0.25">
      <c r="A862" s="2"/>
      <c r="B862" s="9"/>
      <c r="C862" s="8"/>
      <c r="D862" s="3"/>
      <c r="E862" s="3"/>
      <c r="F862" s="3"/>
      <c r="G862" s="3"/>
      <c r="H862" s="3"/>
      <c r="I862" s="3"/>
    </row>
    <row r="863" spans="1:9" x14ac:dyDescent="0.25">
      <c r="A863" s="2"/>
      <c r="B863" s="9"/>
      <c r="C863" s="8"/>
      <c r="D863" s="3"/>
      <c r="E863" s="3"/>
      <c r="F863" s="3"/>
      <c r="G863" s="3"/>
      <c r="H863" s="3"/>
      <c r="I863" s="3"/>
    </row>
    <row r="864" spans="1:9" x14ac:dyDescent="0.25">
      <c r="A864" s="2"/>
      <c r="B864" s="9"/>
      <c r="C864" s="9"/>
      <c r="D864" s="3"/>
      <c r="E864" s="3"/>
      <c r="F864" s="3"/>
      <c r="G864" s="3"/>
      <c r="H864" s="3"/>
      <c r="I864" s="3"/>
    </row>
    <row r="865" spans="1:9" x14ac:dyDescent="0.25">
      <c r="A865" s="2"/>
      <c r="B865" s="9"/>
      <c r="C865" s="9"/>
      <c r="D865" s="3"/>
      <c r="E865" s="3"/>
      <c r="F865" s="3"/>
      <c r="G865" s="3"/>
      <c r="H865" s="3"/>
      <c r="I865" s="3"/>
    </row>
    <row r="866" spans="1:9" x14ac:dyDescent="0.25">
      <c r="A866" s="2"/>
      <c r="B866" s="9"/>
      <c r="C866" s="9"/>
      <c r="D866" s="3"/>
      <c r="E866" s="3"/>
      <c r="F866" s="3"/>
      <c r="G866" s="3"/>
      <c r="H866" s="3"/>
      <c r="I866" s="3"/>
    </row>
    <row r="867" spans="1:9" x14ac:dyDescent="0.25">
      <c r="A867" s="2"/>
      <c r="B867" s="9"/>
      <c r="C867" s="9"/>
      <c r="D867" s="3"/>
      <c r="E867" s="3"/>
      <c r="F867" s="3"/>
      <c r="G867" s="3"/>
      <c r="H867" s="3"/>
      <c r="I867" s="3"/>
    </row>
    <row r="868" spans="1:9" x14ac:dyDescent="0.25">
      <c r="A868" s="2"/>
      <c r="B868" s="9"/>
      <c r="C868" s="9"/>
      <c r="D868" s="3"/>
      <c r="E868" s="3"/>
      <c r="F868" s="3"/>
      <c r="G868" s="3"/>
      <c r="H868" s="3"/>
      <c r="I868" s="3"/>
    </row>
    <row r="869" spans="1:9" x14ac:dyDescent="0.25">
      <c r="A869" s="2"/>
      <c r="B869" s="9"/>
      <c r="C869" s="9"/>
      <c r="D869" s="3"/>
      <c r="E869" s="3"/>
      <c r="F869" s="3"/>
      <c r="G869" s="3"/>
      <c r="H869" s="3"/>
      <c r="I869" s="3"/>
    </row>
    <row r="870" spans="1:9" x14ac:dyDescent="0.25">
      <c r="A870" s="2"/>
      <c r="B870" s="9"/>
      <c r="C870" s="9"/>
      <c r="D870" s="3"/>
      <c r="E870" s="3"/>
      <c r="F870" s="3"/>
      <c r="G870" s="3"/>
      <c r="H870" s="3"/>
      <c r="I870" s="3"/>
    </row>
    <row r="871" spans="1:9" x14ac:dyDescent="0.25">
      <c r="A871" s="2"/>
      <c r="B871" s="9"/>
      <c r="C871" s="9"/>
      <c r="D871" s="3"/>
      <c r="E871" s="3"/>
      <c r="F871" s="3"/>
      <c r="G871" s="3"/>
      <c r="H871" s="3"/>
      <c r="I871" s="3"/>
    </row>
    <row r="872" spans="1:9" x14ac:dyDescent="0.25">
      <c r="A872" s="2"/>
      <c r="B872" s="9"/>
      <c r="C872" s="9"/>
      <c r="D872" s="3"/>
      <c r="E872" s="3"/>
      <c r="F872" s="3"/>
      <c r="G872" s="3"/>
      <c r="H872" s="3"/>
      <c r="I872" s="3"/>
    </row>
    <row r="873" spans="1:9" x14ac:dyDescent="0.25">
      <c r="A873" s="2"/>
      <c r="B873" s="9"/>
      <c r="C873" s="9"/>
      <c r="D873" s="3"/>
      <c r="E873" s="3"/>
      <c r="F873" s="3"/>
      <c r="G873" s="3"/>
      <c r="H873" s="3"/>
      <c r="I873" s="3"/>
    </row>
    <row r="874" spans="1:9" x14ac:dyDescent="0.25">
      <c r="A874" s="2"/>
      <c r="B874" s="9"/>
      <c r="C874" s="9"/>
      <c r="D874" s="3"/>
      <c r="E874" s="3"/>
      <c r="F874" s="3"/>
      <c r="G874" s="3"/>
      <c r="H874" s="3"/>
      <c r="I874" s="3"/>
    </row>
    <row r="875" spans="1:9" x14ac:dyDescent="0.25">
      <c r="A875" s="2"/>
      <c r="B875" s="9"/>
      <c r="C875" s="9"/>
      <c r="D875" s="3"/>
      <c r="E875" s="3"/>
      <c r="F875" s="3"/>
      <c r="G875" s="3"/>
      <c r="H875" s="3"/>
      <c r="I875" s="3"/>
    </row>
    <row r="876" spans="1:9" x14ac:dyDescent="0.25">
      <c r="A876" s="2"/>
      <c r="B876" s="9"/>
      <c r="C876" s="7"/>
      <c r="D876" s="3"/>
      <c r="E876" s="3"/>
      <c r="F876" s="3"/>
      <c r="G876" s="3"/>
      <c r="H876" s="3"/>
      <c r="I876" s="3"/>
    </row>
    <row r="877" spans="1:9" x14ac:dyDescent="0.25">
      <c r="A877" s="2"/>
      <c r="B877" s="9"/>
      <c r="C877" s="7"/>
      <c r="D877" s="3"/>
      <c r="E877" s="3"/>
      <c r="F877" s="3"/>
      <c r="G877" s="3"/>
      <c r="H877" s="3"/>
      <c r="I877" s="3"/>
    </row>
    <row r="878" spans="1:9" x14ac:dyDescent="0.25">
      <c r="A878" s="2"/>
      <c r="B878" s="9"/>
      <c r="C878" s="7"/>
      <c r="D878" s="3"/>
      <c r="E878" s="3"/>
      <c r="F878" s="3"/>
      <c r="G878" s="3"/>
      <c r="H878" s="3"/>
      <c r="I878" s="3"/>
    </row>
    <row r="879" spans="1:9" x14ac:dyDescent="0.25">
      <c r="A879" s="2"/>
      <c r="B879" s="4"/>
      <c r="C879" s="4"/>
      <c r="D879" s="3"/>
      <c r="E879" s="3"/>
      <c r="F879" s="3"/>
      <c r="G879" s="3"/>
      <c r="H879" s="3"/>
      <c r="I879" s="3"/>
    </row>
    <row r="880" spans="1:9" x14ac:dyDescent="0.25">
      <c r="A880" s="2"/>
      <c r="B880" s="3"/>
      <c r="C880" s="3"/>
      <c r="D880" s="3"/>
      <c r="E880" s="3"/>
      <c r="F880" s="3"/>
      <c r="G880" s="3"/>
      <c r="H880" s="3"/>
      <c r="I880" s="3"/>
    </row>
    <row r="881" spans="1:9" x14ac:dyDescent="0.25">
      <c r="A881" s="2"/>
      <c r="B881" s="3"/>
      <c r="C881" s="3"/>
      <c r="D881" s="3"/>
      <c r="E881" s="3"/>
      <c r="F881" s="3"/>
      <c r="G881" s="3"/>
      <c r="H881" s="3"/>
      <c r="I881" s="3"/>
    </row>
    <row r="882" spans="1:9" x14ac:dyDescent="0.25">
      <c r="A882" s="2"/>
      <c r="B882" s="3"/>
      <c r="C882" s="3"/>
      <c r="D882" s="3"/>
      <c r="E882" s="3"/>
      <c r="F882" s="3"/>
      <c r="G882" s="3"/>
      <c r="H882" s="3"/>
      <c r="I882" s="3"/>
    </row>
    <row r="883" spans="1:9" x14ac:dyDescent="0.25">
      <c r="A883" s="2"/>
      <c r="B883" s="3"/>
      <c r="C883" s="3"/>
      <c r="D883" s="3"/>
      <c r="E883" s="3"/>
      <c r="F883" s="3"/>
      <c r="G883" s="3"/>
      <c r="H883" s="3"/>
      <c r="I883" s="3"/>
    </row>
    <row r="884" spans="1:9" x14ac:dyDescent="0.25">
      <c r="A884" s="2"/>
      <c r="B884" s="6"/>
      <c r="C884" s="6"/>
      <c r="D884" s="3"/>
      <c r="E884" s="3"/>
      <c r="F884" s="3"/>
      <c r="G884" s="3"/>
      <c r="H884" s="3"/>
      <c r="I884" s="3"/>
    </row>
    <row r="885" spans="1:9" x14ac:dyDescent="0.25">
      <c r="A885" s="2"/>
      <c r="B885" s="6"/>
      <c r="C885" s="6"/>
      <c r="D885" s="3"/>
      <c r="E885" s="3"/>
      <c r="F885" s="3"/>
      <c r="G885" s="3"/>
      <c r="H885" s="3"/>
      <c r="I885" s="3"/>
    </row>
    <row r="886" spans="1:9" x14ac:dyDescent="0.25">
      <c r="A886" s="2"/>
      <c r="B886" s="6"/>
      <c r="C886" s="6"/>
      <c r="D886" s="3"/>
      <c r="E886" s="3"/>
      <c r="F886" s="3"/>
      <c r="G886" s="3"/>
      <c r="H886" s="3"/>
      <c r="I886" s="3"/>
    </row>
    <row r="887" spans="1:9" x14ac:dyDescent="0.25">
      <c r="A887" s="2"/>
      <c r="B887" s="6"/>
      <c r="C887" s="6"/>
      <c r="D887" s="3"/>
      <c r="E887" s="3"/>
      <c r="F887" s="3"/>
      <c r="G887" s="3"/>
      <c r="H887" s="3"/>
      <c r="I887" s="3"/>
    </row>
    <row r="888" spans="1:9" x14ac:dyDescent="0.25">
      <c r="A888" s="2"/>
      <c r="B888" s="3"/>
      <c r="C888" s="3"/>
      <c r="D888" s="3"/>
      <c r="E888" s="3"/>
      <c r="F888" s="3"/>
      <c r="G888" s="3"/>
      <c r="H888" s="3"/>
      <c r="I888" s="3"/>
    </row>
    <row r="889" spans="1:9" x14ac:dyDescent="0.25">
      <c r="A889" s="2"/>
      <c r="B889" s="3"/>
      <c r="C889" s="3"/>
      <c r="D889" s="3"/>
      <c r="E889" s="3"/>
      <c r="F889" s="3"/>
      <c r="G889" s="3"/>
      <c r="H889" s="3"/>
      <c r="I889" s="3"/>
    </row>
    <row r="890" spans="1:9" x14ac:dyDescent="0.25">
      <c r="A890" s="2"/>
      <c r="B890" s="3"/>
      <c r="C890" s="3"/>
      <c r="D890" s="3"/>
      <c r="E890" s="3"/>
      <c r="F890" s="3"/>
      <c r="G890" s="3"/>
      <c r="H890" s="3"/>
      <c r="I890" s="3"/>
    </row>
    <row r="891" spans="1:9" x14ac:dyDescent="0.25">
      <c r="A891" s="2"/>
      <c r="B891" s="3"/>
      <c r="C891" s="3"/>
      <c r="D891" s="3"/>
      <c r="E891" s="3"/>
      <c r="F891" s="3"/>
      <c r="G891" s="3"/>
      <c r="H891" s="3"/>
      <c r="I891" s="3"/>
    </row>
    <row r="892" spans="1:9" x14ac:dyDescent="0.25">
      <c r="A892" s="2"/>
      <c r="B892" s="3"/>
      <c r="C892" s="3"/>
      <c r="D892" s="3"/>
      <c r="E892" s="3"/>
      <c r="F892" s="3"/>
      <c r="G892" s="3"/>
      <c r="H892" s="3"/>
      <c r="I892" s="3"/>
    </row>
    <row r="893" spans="1:9" x14ac:dyDescent="0.25">
      <c r="A893" s="2"/>
      <c r="B893" s="3"/>
      <c r="C893" s="3"/>
      <c r="D893" s="3"/>
      <c r="E893" s="3"/>
      <c r="F893" s="3"/>
      <c r="G893" s="3"/>
      <c r="H893" s="3"/>
      <c r="I893" s="3"/>
    </row>
    <row r="894" spans="1:9" x14ac:dyDescent="0.25">
      <c r="A894" s="2"/>
      <c r="B894" s="3"/>
      <c r="C894" s="3"/>
      <c r="D894" s="3"/>
      <c r="E894" s="3"/>
      <c r="F894" s="3"/>
      <c r="G894" s="3"/>
      <c r="H894" s="3"/>
      <c r="I894" s="3"/>
    </row>
    <row r="895" spans="1:9" x14ac:dyDescent="0.25">
      <c r="A895" s="2"/>
      <c r="B895" s="3"/>
      <c r="C895" s="3"/>
      <c r="D895" s="3"/>
      <c r="E895" s="3"/>
      <c r="F895" s="3"/>
      <c r="G895" s="3"/>
      <c r="H895" s="3"/>
      <c r="I895" s="3"/>
    </row>
    <row r="896" spans="1:9" x14ac:dyDescent="0.25">
      <c r="A896" s="2"/>
      <c r="B896" s="3"/>
      <c r="C896" s="3"/>
      <c r="D896" s="3"/>
      <c r="E896" s="3"/>
      <c r="F896" s="3"/>
      <c r="G896" s="3"/>
      <c r="H896" s="3"/>
      <c r="I896" s="3"/>
    </row>
    <row r="897" spans="1:9" x14ac:dyDescent="0.25">
      <c r="A897" s="2"/>
      <c r="B897" s="3"/>
      <c r="C897" s="3"/>
      <c r="D897" s="3"/>
      <c r="E897" s="3"/>
      <c r="F897" s="3"/>
      <c r="G897" s="3"/>
      <c r="H897" s="3"/>
      <c r="I897" s="3"/>
    </row>
    <row r="898" spans="1:9" x14ac:dyDescent="0.25">
      <c r="A898" s="2"/>
      <c r="B898" s="3"/>
      <c r="C898" s="3"/>
      <c r="D898" s="3"/>
      <c r="E898" s="3"/>
      <c r="F898" s="3"/>
      <c r="G898" s="3"/>
      <c r="H898" s="3"/>
      <c r="I898" s="3"/>
    </row>
    <row r="899" spans="1:9" x14ac:dyDescent="0.25">
      <c r="A899" s="2"/>
      <c r="B899" s="3"/>
      <c r="C899" s="3"/>
      <c r="D899" s="3"/>
      <c r="E899" s="3"/>
      <c r="F899" s="3"/>
      <c r="G899" s="3"/>
      <c r="H899" s="3"/>
      <c r="I899" s="3"/>
    </row>
    <row r="900" spans="1:9" x14ac:dyDescent="0.25">
      <c r="A900" s="5"/>
      <c r="B900" s="3"/>
      <c r="C900" s="3"/>
      <c r="D900" s="3"/>
      <c r="E900" s="3"/>
      <c r="F900" s="3"/>
      <c r="G900" s="3"/>
      <c r="H900" s="3"/>
      <c r="I900" s="3"/>
    </row>
    <row r="901" spans="1:9" x14ac:dyDescent="0.25">
      <c r="A901" s="5"/>
      <c r="B901" s="3"/>
      <c r="C901" s="3"/>
      <c r="D901" s="3"/>
      <c r="E901" s="3"/>
      <c r="F901" s="3"/>
      <c r="G901" s="3"/>
      <c r="H901" s="3"/>
      <c r="I901" s="3"/>
    </row>
    <row r="902" spans="1:9" x14ac:dyDescent="0.25">
      <c r="A902" s="2"/>
      <c r="B902" s="3"/>
      <c r="C902" s="3"/>
      <c r="D902" s="3"/>
      <c r="E902" s="3"/>
      <c r="F902" s="3"/>
      <c r="G902" s="3"/>
      <c r="H902" s="3"/>
      <c r="I902" s="3"/>
    </row>
    <row r="903" spans="1:9" x14ac:dyDescent="0.25">
      <c r="A903" s="2"/>
      <c r="B903" s="3"/>
      <c r="C903" s="3"/>
      <c r="D903" s="3"/>
      <c r="E903" s="3"/>
      <c r="F903" s="3"/>
      <c r="G903" s="3"/>
      <c r="H903" s="3"/>
      <c r="I903" s="3"/>
    </row>
    <row r="904" spans="1:9" x14ac:dyDescent="0.25">
      <c r="A904" s="2"/>
      <c r="B904" s="3"/>
      <c r="C904" s="3"/>
      <c r="D904" s="3"/>
      <c r="E904" s="3"/>
      <c r="F904" s="3"/>
      <c r="G904" s="3"/>
      <c r="H904" s="3"/>
      <c r="I904" s="3"/>
    </row>
    <row r="905" spans="1:9" x14ac:dyDescent="0.25">
      <c r="A905" s="5"/>
      <c r="B905" s="3"/>
      <c r="C905" s="3"/>
      <c r="D905" s="3"/>
      <c r="E905" s="3"/>
      <c r="F905" s="3"/>
      <c r="G905" s="3"/>
      <c r="H905" s="3"/>
      <c r="I905" s="3"/>
    </row>
    <row r="906" spans="1:9" x14ac:dyDescent="0.25">
      <c r="A906" s="5"/>
      <c r="B906" s="3"/>
      <c r="C906" s="3"/>
      <c r="D906" s="3"/>
      <c r="E906" s="3"/>
      <c r="F906" s="3"/>
      <c r="G906" s="3"/>
      <c r="H906" s="3"/>
      <c r="I906" s="3"/>
    </row>
    <row r="907" spans="1:9" x14ac:dyDescent="0.25">
      <c r="A907" s="5"/>
      <c r="B907" s="3"/>
      <c r="C907" s="3"/>
      <c r="D907" s="3"/>
      <c r="E907" s="3"/>
      <c r="F907" s="3"/>
      <c r="G907" s="3"/>
      <c r="H907" s="3"/>
      <c r="I907" s="3"/>
    </row>
    <row r="908" spans="1:9" x14ac:dyDescent="0.25">
      <c r="A908" s="5"/>
      <c r="B908" s="3"/>
      <c r="C908" s="3"/>
      <c r="D908" s="3"/>
      <c r="E908" s="3"/>
      <c r="F908" s="3"/>
      <c r="G908" s="3"/>
      <c r="H908" s="3"/>
      <c r="I908" s="3"/>
    </row>
    <row r="909" spans="1:9" x14ac:dyDescent="0.25">
      <c r="A909" s="5"/>
      <c r="B909" s="3"/>
      <c r="C909" s="3"/>
      <c r="D909" s="3"/>
      <c r="E909" s="3"/>
      <c r="F909" s="3"/>
      <c r="G909" s="3"/>
      <c r="H909" s="3"/>
      <c r="I909" s="3"/>
    </row>
    <row r="910" spans="1:9" x14ac:dyDescent="0.25">
      <c r="A910" s="3"/>
      <c r="B910" s="3"/>
      <c r="C910" s="3"/>
      <c r="D910" s="3"/>
      <c r="E910" s="3"/>
      <c r="F910" s="3"/>
      <c r="G910" s="3"/>
      <c r="H910" s="3"/>
      <c r="I910" s="3"/>
    </row>
    <row r="911" spans="1:9" x14ac:dyDescent="0.25">
      <c r="A911" s="3"/>
      <c r="B911" s="3"/>
      <c r="C911" s="3"/>
      <c r="D911" s="3"/>
      <c r="E911" s="3"/>
      <c r="F911" s="3"/>
      <c r="G911" s="3"/>
      <c r="H911" s="3"/>
      <c r="I911" s="3"/>
    </row>
    <row r="912" spans="1:9" x14ac:dyDescent="0.25">
      <c r="A912" s="3"/>
      <c r="B912" s="3"/>
      <c r="C912" s="3"/>
      <c r="D912" s="3"/>
      <c r="E912" s="3"/>
      <c r="F912" s="3"/>
      <c r="G912" s="3"/>
      <c r="H912" s="3"/>
      <c r="I912" s="3"/>
    </row>
    <row r="913" spans="1:9" x14ac:dyDescent="0.25">
      <c r="A913" s="3"/>
      <c r="B913" s="3"/>
      <c r="C913" s="3"/>
      <c r="D913" s="3"/>
      <c r="E913" s="3"/>
      <c r="F913" s="3"/>
      <c r="G913" s="3"/>
      <c r="H913" s="3"/>
      <c r="I913" s="3"/>
    </row>
    <row r="914" spans="1:9" x14ac:dyDescent="0.25">
      <c r="A914" s="3"/>
      <c r="B914" s="3"/>
      <c r="C914" s="3"/>
      <c r="D914" s="3"/>
      <c r="E914" s="3"/>
      <c r="F914" s="3"/>
      <c r="G914" s="3"/>
      <c r="H914" s="3"/>
      <c r="I914" s="3"/>
    </row>
    <row r="915" spans="1:9" x14ac:dyDescent="0.25">
      <c r="A915" s="3"/>
      <c r="B915" s="3"/>
      <c r="C915" s="3"/>
      <c r="D915" s="3"/>
      <c r="E915" s="3"/>
      <c r="F915" s="3"/>
      <c r="G915" s="3"/>
      <c r="H915" s="3"/>
      <c r="I915" s="3"/>
    </row>
    <row r="916" spans="1:9" x14ac:dyDescent="0.25">
      <c r="A916" s="3"/>
      <c r="B916" s="3"/>
      <c r="C916" s="3"/>
      <c r="D916" s="3"/>
      <c r="E916" s="3"/>
      <c r="F916" s="3"/>
      <c r="G916" s="3"/>
      <c r="H916" s="3"/>
      <c r="I916" s="3"/>
    </row>
    <row r="917" spans="1:9" x14ac:dyDescent="0.25">
      <c r="A917" s="3"/>
      <c r="B917" s="3"/>
      <c r="C917" s="3"/>
      <c r="D917" s="3"/>
      <c r="E917" s="3"/>
      <c r="F917" s="3"/>
      <c r="G917" s="3"/>
      <c r="H917" s="3"/>
      <c r="I917" s="3"/>
    </row>
    <row r="918" spans="1:9" x14ac:dyDescent="0.25">
      <c r="A918" s="3"/>
      <c r="B918" s="3"/>
      <c r="C918" s="3"/>
      <c r="D918" s="3"/>
      <c r="E918" s="3"/>
      <c r="F918" s="3"/>
      <c r="G918" s="3"/>
      <c r="H918" s="3"/>
      <c r="I918" s="3"/>
    </row>
    <row r="919" spans="1:9" x14ac:dyDescent="0.25">
      <c r="A919" s="3"/>
      <c r="B919" s="3"/>
      <c r="C919" s="3"/>
      <c r="D919" s="3"/>
      <c r="E919" s="3"/>
      <c r="F919" s="3"/>
      <c r="G919" s="3"/>
      <c r="H919" s="3"/>
      <c r="I919" s="3"/>
    </row>
    <row r="920" spans="1:9" x14ac:dyDescent="0.25">
      <c r="A920" s="3"/>
      <c r="B920" s="3"/>
      <c r="C920" s="3"/>
      <c r="D920" s="3"/>
      <c r="E920" s="3"/>
      <c r="F920" s="3"/>
      <c r="G920" s="3"/>
      <c r="H920" s="3"/>
      <c r="I920" s="3"/>
    </row>
    <row r="921" spans="1:9" x14ac:dyDescent="0.25">
      <c r="A921" s="3"/>
      <c r="B921" s="3"/>
      <c r="C921" s="3"/>
      <c r="D921" s="3"/>
      <c r="E921" s="3"/>
      <c r="F921" s="3"/>
      <c r="G921" s="3"/>
      <c r="H921" s="3"/>
      <c r="I921" s="3"/>
    </row>
    <row r="922" spans="1:9" x14ac:dyDescent="0.25">
      <c r="A922" s="3"/>
      <c r="B922" s="3"/>
      <c r="C922" s="3"/>
      <c r="D922" s="3"/>
      <c r="E922" s="3"/>
      <c r="F922" s="3"/>
      <c r="G922" s="3"/>
      <c r="H922" s="3"/>
      <c r="I922" s="3"/>
    </row>
    <row r="923" spans="1:9" x14ac:dyDescent="0.25">
      <c r="A923" s="3"/>
      <c r="B923" s="3"/>
      <c r="C923" s="3"/>
      <c r="D923" s="3"/>
      <c r="E923" s="3"/>
      <c r="F923" s="3"/>
      <c r="G923" s="3"/>
      <c r="H923" s="3"/>
      <c r="I923" s="3"/>
    </row>
    <row r="924" spans="1:9" x14ac:dyDescent="0.25">
      <c r="A924" s="3"/>
      <c r="B924" s="3"/>
      <c r="C924" s="3"/>
      <c r="D924" s="3"/>
      <c r="E924" s="3"/>
      <c r="F924" s="3"/>
      <c r="G924" s="3"/>
      <c r="H924" s="3"/>
      <c r="I924" s="3"/>
    </row>
    <row r="925" spans="1:9" x14ac:dyDescent="0.25">
      <c r="A925" s="3"/>
      <c r="B925" s="3"/>
      <c r="C925" s="3"/>
      <c r="D925" s="3"/>
      <c r="E925" s="3"/>
      <c r="F925" s="3"/>
      <c r="G925" s="3"/>
      <c r="H925" s="3"/>
      <c r="I925" s="3"/>
    </row>
    <row r="926" spans="1:9" x14ac:dyDescent="0.25">
      <c r="A926" s="3"/>
      <c r="B926" s="3"/>
      <c r="C926" s="3"/>
      <c r="D926" s="3"/>
      <c r="E926" s="3"/>
      <c r="F926" s="3"/>
      <c r="G926" s="3"/>
      <c r="H926" s="3"/>
      <c r="I926" s="3"/>
    </row>
    <row r="927" spans="1:9" x14ac:dyDescent="0.25">
      <c r="A927" s="3"/>
      <c r="B927" s="3"/>
      <c r="C927" s="3"/>
      <c r="D927" s="3"/>
      <c r="E927" s="3"/>
      <c r="F927" s="3"/>
      <c r="G927" s="3"/>
      <c r="H927" s="3"/>
      <c r="I927" s="3"/>
    </row>
    <row r="928" spans="1:9" x14ac:dyDescent="0.25">
      <c r="A928" s="3"/>
      <c r="B928" s="3"/>
      <c r="C928" s="3"/>
      <c r="D928" s="3"/>
      <c r="E928" s="3"/>
      <c r="F928" s="3"/>
      <c r="G928" s="3"/>
      <c r="H928" s="3"/>
      <c r="I928" s="3"/>
    </row>
    <row r="929" spans="1:9" x14ac:dyDescent="0.25">
      <c r="A929" s="3"/>
      <c r="B929" s="3"/>
      <c r="C929" s="3"/>
      <c r="D929" s="3"/>
      <c r="E929" s="3"/>
      <c r="F929" s="3"/>
      <c r="G929" s="3"/>
      <c r="H929" s="3"/>
      <c r="I929" s="3"/>
    </row>
    <row r="930" spans="1:9" x14ac:dyDescent="0.25">
      <c r="A930" s="3"/>
      <c r="B930" s="3"/>
      <c r="C930" s="3"/>
      <c r="D930" s="3"/>
      <c r="E930" s="3"/>
      <c r="F930" s="3"/>
      <c r="G930" s="3"/>
      <c r="H930" s="3"/>
      <c r="I930" s="3"/>
    </row>
    <row r="931" spans="1:9" x14ac:dyDescent="0.25">
      <c r="A931" s="3"/>
      <c r="B931" s="3"/>
      <c r="C931" s="3"/>
      <c r="D931" s="3"/>
      <c r="E931" s="3"/>
      <c r="F931" s="3"/>
      <c r="G931" s="3"/>
      <c r="H931" s="3"/>
      <c r="I931" s="3"/>
    </row>
    <row r="932" spans="1:9" x14ac:dyDescent="0.25">
      <c r="A932" s="3"/>
      <c r="B932" s="3"/>
      <c r="C932" s="3"/>
      <c r="D932" s="3"/>
      <c r="E932" s="3"/>
      <c r="F932" s="3"/>
      <c r="G932" s="3"/>
      <c r="H932" s="3"/>
      <c r="I932" s="3"/>
    </row>
    <row r="933" spans="1:9" x14ac:dyDescent="0.25">
      <c r="A933" s="3"/>
      <c r="B933" s="3"/>
      <c r="C933" s="3"/>
      <c r="D933" s="3"/>
      <c r="E933" s="3"/>
      <c r="F933" s="3"/>
      <c r="G933" s="3"/>
      <c r="H933" s="3"/>
      <c r="I933" s="3"/>
    </row>
    <row r="934" spans="1:9" x14ac:dyDescent="0.25">
      <c r="A934" s="3"/>
      <c r="B934" s="3"/>
      <c r="C934" s="3"/>
      <c r="D934" s="3"/>
      <c r="E934" s="3"/>
      <c r="F934" s="3"/>
      <c r="G934" s="3"/>
      <c r="H934" s="3"/>
      <c r="I934" s="3"/>
    </row>
    <row r="935" spans="1:9" x14ac:dyDescent="0.25">
      <c r="A935" s="3"/>
      <c r="B935" s="3"/>
      <c r="C935" s="3"/>
      <c r="D935" s="3"/>
      <c r="E935" s="3"/>
      <c r="F935" s="3"/>
      <c r="G935" s="3"/>
      <c r="H935" s="3"/>
      <c r="I935" s="3"/>
    </row>
    <row r="936" spans="1:9" x14ac:dyDescent="0.25">
      <c r="A936" s="3"/>
      <c r="B936" s="3"/>
      <c r="C936" s="3"/>
      <c r="D936" s="3"/>
      <c r="E936" s="3"/>
      <c r="F936" s="3"/>
      <c r="G936" s="3"/>
      <c r="H936" s="3"/>
      <c r="I936" s="3"/>
    </row>
    <row r="937" spans="1:9" x14ac:dyDescent="0.25">
      <c r="A937" s="3"/>
      <c r="B937" s="3"/>
      <c r="C937" s="3"/>
      <c r="D937" s="3"/>
      <c r="E937" s="3"/>
      <c r="F937" s="3"/>
      <c r="G937" s="3"/>
      <c r="H937" s="3"/>
      <c r="I937" s="3"/>
    </row>
    <row r="938" spans="1:9" x14ac:dyDescent="0.25">
      <c r="A938" s="3"/>
      <c r="B938" s="3"/>
      <c r="C938" s="3"/>
      <c r="D938" s="3"/>
      <c r="E938" s="3"/>
      <c r="F938" s="3"/>
      <c r="G938" s="3"/>
      <c r="H938" s="3"/>
      <c r="I938" s="3"/>
    </row>
    <row r="939" spans="1:9" x14ac:dyDescent="0.25">
      <c r="A939" s="3"/>
      <c r="B939" s="3"/>
      <c r="C939" s="3"/>
      <c r="D939" s="3"/>
      <c r="E939" s="3"/>
      <c r="F939" s="3"/>
      <c r="G939" s="3"/>
      <c r="H939" s="3"/>
      <c r="I939" s="3"/>
    </row>
    <row r="940" spans="1:9" x14ac:dyDescent="0.25">
      <c r="A940" s="3"/>
      <c r="B940" s="3"/>
      <c r="C940" s="3"/>
      <c r="D940" s="3"/>
      <c r="E940" s="3"/>
      <c r="F940" s="3"/>
      <c r="G940" s="3"/>
      <c r="H940" s="3"/>
      <c r="I940" s="3"/>
    </row>
    <row r="941" spans="1:9" x14ac:dyDescent="0.25">
      <c r="A941" s="3"/>
      <c r="B941" s="3"/>
      <c r="C941" s="3"/>
      <c r="D941" s="3"/>
      <c r="E941" s="3"/>
      <c r="F941" s="3"/>
      <c r="G941" s="3"/>
      <c r="H941" s="3"/>
      <c r="I941" s="3"/>
    </row>
    <row r="942" spans="1:9" x14ac:dyDescent="0.25">
      <c r="A942" s="3"/>
      <c r="B942" s="3"/>
      <c r="C942" s="3"/>
      <c r="D942" s="3"/>
      <c r="E942" s="3"/>
      <c r="F942" s="3"/>
      <c r="G942" s="3"/>
      <c r="H942" s="3"/>
      <c r="I942" s="3"/>
    </row>
    <row r="943" spans="1:9" x14ac:dyDescent="0.25">
      <c r="A943" s="3"/>
      <c r="B943" s="3"/>
      <c r="C943" s="3"/>
      <c r="D943" s="3"/>
      <c r="E943" s="3"/>
      <c r="F943" s="3"/>
      <c r="G943" s="3"/>
      <c r="H943" s="3"/>
      <c r="I943" s="3"/>
    </row>
    <row r="944" spans="1:9" x14ac:dyDescent="0.25">
      <c r="A944" s="3"/>
      <c r="B944" s="3"/>
      <c r="C944" s="3"/>
      <c r="D944" s="3"/>
      <c r="E944" s="3"/>
      <c r="F944" s="3"/>
      <c r="G944" s="3"/>
      <c r="H944" s="3"/>
      <c r="I944" s="3"/>
    </row>
    <row r="945" spans="1:9" x14ac:dyDescent="0.25">
      <c r="A945" s="3"/>
      <c r="B945" s="3"/>
      <c r="C945" s="3"/>
      <c r="D945" s="3"/>
      <c r="E945" s="3"/>
      <c r="F945" s="3"/>
      <c r="G945" s="3"/>
      <c r="H945" s="3"/>
      <c r="I945" s="3"/>
    </row>
    <row r="946" spans="1:9" x14ac:dyDescent="0.25">
      <c r="A946" s="3"/>
      <c r="B946" s="3"/>
      <c r="C946" s="3"/>
      <c r="D946" s="3"/>
      <c r="E946" s="3"/>
      <c r="F946" s="3"/>
      <c r="G946" s="3"/>
      <c r="H946" s="3"/>
      <c r="I946" s="3"/>
    </row>
    <row r="947" spans="1:9" x14ac:dyDescent="0.25">
      <c r="A947" s="3"/>
      <c r="B947" s="3"/>
      <c r="C947" s="3"/>
      <c r="D947" s="3"/>
      <c r="E947" s="3"/>
      <c r="F947" s="3"/>
      <c r="G947" s="3"/>
      <c r="H947" s="3"/>
      <c r="I947" s="3"/>
    </row>
    <row r="948" spans="1:9" x14ac:dyDescent="0.25">
      <c r="A948" s="3"/>
      <c r="B948" s="3"/>
      <c r="C948" s="3"/>
      <c r="D948" s="3"/>
      <c r="E948" s="3"/>
      <c r="F948" s="3"/>
      <c r="G948" s="3"/>
      <c r="H948" s="3"/>
      <c r="I948" s="3"/>
    </row>
    <row r="949" spans="1:9" x14ac:dyDescent="0.25">
      <c r="A949" s="3"/>
      <c r="B949" s="3"/>
      <c r="C949" s="3"/>
      <c r="D949" s="3"/>
      <c r="E949" s="3"/>
      <c r="F949" s="3"/>
      <c r="G949" s="3"/>
      <c r="H949" s="3"/>
      <c r="I949" s="3"/>
    </row>
    <row r="950" spans="1:9" x14ac:dyDescent="0.25">
      <c r="A950" s="3"/>
      <c r="B950" s="3"/>
      <c r="C950" s="3"/>
      <c r="D950" s="3"/>
      <c r="E950" s="3"/>
      <c r="F950" s="3"/>
      <c r="G950" s="3"/>
      <c r="H950" s="3"/>
      <c r="I950" s="3"/>
    </row>
    <row r="951" spans="1:9" x14ac:dyDescent="0.25">
      <c r="A951" s="3"/>
      <c r="B951" s="3"/>
      <c r="C951" s="3"/>
      <c r="D951" s="3"/>
      <c r="E951" s="3"/>
      <c r="F951" s="3"/>
      <c r="G951" s="3"/>
      <c r="H951" s="3"/>
      <c r="I951" s="3"/>
    </row>
    <row r="952" spans="1:9" x14ac:dyDescent="0.25">
      <c r="A952" s="3"/>
      <c r="B952" s="3"/>
      <c r="C952" s="3"/>
      <c r="D952" s="3"/>
      <c r="E952" s="3"/>
      <c r="F952" s="3"/>
      <c r="G952" s="3"/>
      <c r="H952" s="3"/>
      <c r="I952" s="3"/>
    </row>
    <row r="953" spans="1:9" x14ac:dyDescent="0.25">
      <c r="A953" s="3"/>
      <c r="B953" s="3"/>
      <c r="C953" s="3"/>
      <c r="D953" s="3"/>
      <c r="E953" s="3"/>
      <c r="F953" s="3"/>
      <c r="G953" s="3"/>
      <c r="H953" s="3"/>
      <c r="I953" s="3"/>
    </row>
    <row r="954" spans="1:9" x14ac:dyDescent="0.25">
      <c r="A954" s="3"/>
      <c r="B954" s="3"/>
      <c r="C954" s="3"/>
      <c r="D954" s="3"/>
      <c r="E954" s="3"/>
      <c r="F954" s="3"/>
      <c r="G954" s="3"/>
      <c r="H954" s="3"/>
      <c r="I954" s="3"/>
    </row>
    <row r="955" spans="1:9" x14ac:dyDescent="0.25">
      <c r="A955" s="3"/>
      <c r="B955" s="3"/>
      <c r="C955" s="3"/>
      <c r="D955" s="3"/>
      <c r="E955" s="3"/>
      <c r="F955" s="3"/>
      <c r="G955" s="3"/>
      <c r="H955" s="3"/>
      <c r="I955" s="3"/>
    </row>
    <row r="956" spans="1:9" x14ac:dyDescent="0.25">
      <c r="A956" s="3"/>
      <c r="B956" s="3"/>
      <c r="C956" s="3"/>
      <c r="D956" s="3"/>
      <c r="E956" s="3"/>
      <c r="F956" s="3"/>
      <c r="G956" s="3"/>
      <c r="H956" s="3"/>
      <c r="I956" s="3"/>
    </row>
    <row r="957" spans="1:9" x14ac:dyDescent="0.25">
      <c r="A957" s="3"/>
      <c r="B957" s="3"/>
      <c r="C957" s="3"/>
      <c r="D957" s="3"/>
      <c r="E957" s="3"/>
      <c r="F957" s="3"/>
      <c r="G957" s="3"/>
      <c r="H957" s="3"/>
      <c r="I957" s="3"/>
    </row>
    <row r="958" spans="1:9" x14ac:dyDescent="0.25">
      <c r="A958" s="3"/>
      <c r="B958" s="3"/>
      <c r="C958" s="3"/>
      <c r="D958" s="3"/>
      <c r="E958" s="3"/>
      <c r="F958" s="3"/>
      <c r="G958" s="3"/>
      <c r="H958" s="3"/>
      <c r="I958" s="3"/>
    </row>
    <row r="959" spans="1:9" x14ac:dyDescent="0.25">
      <c r="A959" s="3"/>
      <c r="B959" s="3"/>
      <c r="C959" s="3"/>
      <c r="D959" s="3"/>
      <c r="E959" s="3"/>
      <c r="F959" s="3"/>
      <c r="G959" s="3"/>
      <c r="H959" s="3"/>
      <c r="I959" s="3"/>
    </row>
    <row r="960" spans="1:9" x14ac:dyDescent="0.25">
      <c r="A960" s="3"/>
      <c r="B960" s="3"/>
      <c r="C960" s="3"/>
      <c r="D960" s="3"/>
      <c r="E960" s="3"/>
      <c r="F960" s="3"/>
      <c r="G960" s="3"/>
      <c r="H960" s="3"/>
      <c r="I960" s="3"/>
    </row>
    <row r="961" spans="1:9" x14ac:dyDescent="0.25">
      <c r="A961" s="3"/>
      <c r="B961" s="3"/>
      <c r="C961" s="3"/>
      <c r="D961" s="3"/>
      <c r="E961" s="3"/>
      <c r="F961" s="3"/>
      <c r="G961" s="3"/>
      <c r="H961" s="3"/>
      <c r="I961" s="3"/>
    </row>
    <row r="962" spans="1:9" x14ac:dyDescent="0.25">
      <c r="A962" s="3"/>
      <c r="B962" s="3"/>
      <c r="C962" s="3"/>
      <c r="D962" s="3"/>
      <c r="E962" s="3"/>
      <c r="F962" s="3"/>
      <c r="G962" s="3"/>
      <c r="H962" s="3"/>
      <c r="I962" s="3"/>
    </row>
    <row r="963" spans="1:9" x14ac:dyDescent="0.25">
      <c r="A963" s="3"/>
      <c r="B963" s="3"/>
      <c r="C963" s="3"/>
      <c r="D963" s="3"/>
      <c r="E963" s="3"/>
      <c r="F963" s="3"/>
      <c r="G963" s="3"/>
      <c r="H963" s="3"/>
      <c r="I963" s="3"/>
    </row>
    <row r="964" spans="1:9" x14ac:dyDescent="0.25">
      <c r="A964" s="3"/>
      <c r="B964" s="3"/>
      <c r="C964" s="3"/>
      <c r="D964" s="3"/>
      <c r="E964" s="3"/>
      <c r="F964" s="3"/>
      <c r="G964" s="3"/>
      <c r="H964" s="3"/>
      <c r="I964" s="3"/>
    </row>
    <row r="965" spans="1:9" x14ac:dyDescent="0.25">
      <c r="A965" s="3"/>
      <c r="B965" s="3"/>
      <c r="C965" s="3"/>
      <c r="D965" s="3"/>
      <c r="E965" s="3"/>
      <c r="F965" s="3"/>
      <c r="G965" s="3"/>
      <c r="H965" s="3"/>
      <c r="I965" s="3"/>
    </row>
    <row r="966" spans="1:9" x14ac:dyDescent="0.25">
      <c r="A966" s="2"/>
      <c r="D966" s="3"/>
      <c r="E966" s="3"/>
      <c r="F966" s="3"/>
      <c r="G966" s="3"/>
      <c r="H966" s="3"/>
      <c r="I966" s="3"/>
    </row>
    <row r="967" spans="1:9" x14ac:dyDescent="0.25">
      <c r="A967" s="2"/>
      <c r="D967" s="3"/>
      <c r="E967" s="3"/>
      <c r="F967" s="3"/>
      <c r="G967" s="3"/>
      <c r="H967" s="3"/>
      <c r="I967" s="3"/>
    </row>
    <row r="968" spans="1:9" x14ac:dyDescent="0.25">
      <c r="A968" s="2"/>
      <c r="D968" s="3"/>
      <c r="E968" s="3"/>
      <c r="F968" s="3"/>
      <c r="G968" s="3"/>
      <c r="H968" s="3"/>
      <c r="I968" s="3"/>
    </row>
    <row r="969" spans="1:9" x14ac:dyDescent="0.25">
      <c r="A969" s="2"/>
      <c r="D969" s="3"/>
      <c r="E969" s="3"/>
      <c r="F969" s="3"/>
      <c r="G969" s="3"/>
      <c r="H969" s="3"/>
      <c r="I969" s="3"/>
    </row>
    <row r="970" spans="1:9" x14ac:dyDescent="0.25">
      <c r="A970" s="2"/>
      <c r="D970" s="3"/>
      <c r="E970" s="3"/>
      <c r="F970" s="3"/>
      <c r="G970" s="3"/>
      <c r="H970" s="3"/>
      <c r="I970" s="3"/>
    </row>
    <row r="971" spans="1:9" x14ac:dyDescent="0.25">
      <c r="A971" s="2"/>
      <c r="D971" s="3"/>
      <c r="E971" s="3"/>
      <c r="F971" s="3"/>
      <c r="G971" s="3"/>
      <c r="H971" s="3"/>
      <c r="I971" s="3"/>
    </row>
    <row r="972" spans="1:9" x14ac:dyDescent="0.25">
      <c r="A972" s="2"/>
      <c r="D972" s="3"/>
      <c r="E972" s="3"/>
      <c r="F972" s="3"/>
      <c r="G972" s="3"/>
      <c r="H972" s="3"/>
      <c r="I972" s="3"/>
    </row>
    <row r="973" spans="1:9" x14ac:dyDescent="0.25">
      <c r="A973" s="2"/>
      <c r="D973" s="3"/>
      <c r="E973" s="3"/>
      <c r="F973" s="3"/>
      <c r="G973" s="3"/>
      <c r="H973" s="3"/>
      <c r="I973" s="3"/>
    </row>
    <row r="974" spans="1:9" x14ac:dyDescent="0.25">
      <c r="A974" s="2"/>
      <c r="D974" s="3"/>
      <c r="E974" s="3"/>
      <c r="F974" s="3"/>
      <c r="G974" s="3"/>
      <c r="H974" s="3"/>
      <c r="I974" s="3"/>
    </row>
    <row r="975" spans="1:9" x14ac:dyDescent="0.25">
      <c r="A975" s="2"/>
      <c r="D975" s="3"/>
      <c r="E975" s="3"/>
      <c r="F975" s="3"/>
      <c r="G975" s="3"/>
      <c r="H975" s="3"/>
      <c r="I975" s="3"/>
    </row>
    <row r="976" spans="1:9" x14ac:dyDescent="0.25">
      <c r="A976" s="2"/>
      <c r="D976" s="3"/>
      <c r="E976" s="3"/>
      <c r="F976" s="3"/>
      <c r="G976" s="3"/>
      <c r="H976" s="3"/>
      <c r="I976" s="3"/>
    </row>
    <row r="977" spans="1:9" x14ac:dyDescent="0.25">
      <c r="A977" s="2"/>
      <c r="D977" s="3"/>
      <c r="E977" s="3"/>
      <c r="F977" s="3"/>
      <c r="G977" s="3"/>
      <c r="H977" s="3"/>
      <c r="I977" s="3"/>
    </row>
    <row r="978" spans="1:9" x14ac:dyDescent="0.25">
      <c r="A978" s="2"/>
      <c r="D978" s="3"/>
      <c r="E978" s="3"/>
      <c r="F978" s="3"/>
      <c r="G978" s="3"/>
      <c r="H978" s="3"/>
      <c r="I978" s="3"/>
    </row>
    <row r="979" spans="1:9" x14ac:dyDescent="0.25">
      <c r="A979" s="2"/>
      <c r="D979" s="3"/>
      <c r="E979" s="3"/>
      <c r="F979" s="3"/>
      <c r="G979" s="3"/>
      <c r="H979" s="3"/>
      <c r="I979" s="3"/>
    </row>
    <row r="980" spans="1:9" x14ac:dyDescent="0.25">
      <c r="A980" s="2"/>
      <c r="D980" s="3"/>
      <c r="E980" s="3"/>
      <c r="F980" s="3"/>
      <c r="G980" s="3"/>
      <c r="H980" s="3"/>
      <c r="I980" s="3"/>
    </row>
    <row r="981" spans="1:9" x14ac:dyDescent="0.25">
      <c r="A981" s="2"/>
      <c r="D981" s="3"/>
      <c r="E981" s="3"/>
      <c r="F981" s="3"/>
      <c r="G981" s="3"/>
      <c r="H981" s="3"/>
      <c r="I981" s="3"/>
    </row>
    <row r="982" spans="1:9" x14ac:dyDescent="0.25">
      <c r="A982" s="2"/>
      <c r="D982" s="3"/>
      <c r="E982" s="3"/>
      <c r="F982" s="3"/>
      <c r="G982" s="3"/>
      <c r="H982" s="3"/>
      <c r="I982" s="3"/>
    </row>
    <row r="983" spans="1:9" x14ac:dyDescent="0.25">
      <c r="A983" s="2"/>
      <c r="D983" s="3"/>
      <c r="E983" s="3"/>
      <c r="F983" s="3"/>
      <c r="G983" s="3"/>
      <c r="H983" s="3"/>
      <c r="I983" s="3"/>
    </row>
    <row r="984" spans="1:9" x14ac:dyDescent="0.25">
      <c r="A984" s="2"/>
      <c r="D984" s="3"/>
      <c r="E984" s="3"/>
      <c r="F984" s="3"/>
      <c r="G984" s="3"/>
      <c r="H984" s="3"/>
      <c r="I984" s="3"/>
    </row>
    <row r="985" spans="1:9" x14ac:dyDescent="0.25">
      <c r="A985" s="2"/>
      <c r="D985" s="3"/>
      <c r="E985" s="3"/>
      <c r="F985" s="3"/>
      <c r="G985" s="3"/>
      <c r="H985" s="3"/>
      <c r="I985" s="3"/>
    </row>
    <row r="986" spans="1:9" x14ac:dyDescent="0.25">
      <c r="A986" s="2"/>
      <c r="D986" s="3"/>
      <c r="E986" s="3"/>
      <c r="F986" s="3"/>
      <c r="G986" s="3"/>
      <c r="H986" s="3"/>
      <c r="I986" s="3"/>
    </row>
    <row r="987" spans="1:9" x14ac:dyDescent="0.25">
      <c r="A987" s="2"/>
      <c r="D987" s="3"/>
      <c r="E987" s="3"/>
      <c r="F987" s="3"/>
      <c r="G987" s="3"/>
      <c r="H987" s="3"/>
      <c r="I987" s="3"/>
    </row>
    <row r="988" spans="1:9" x14ac:dyDescent="0.25">
      <c r="A988" s="2"/>
      <c r="D988" s="3"/>
      <c r="E988" s="3"/>
      <c r="F988" s="3"/>
      <c r="G988" s="3"/>
      <c r="H988" s="3"/>
      <c r="I988" s="3"/>
    </row>
    <row r="989" spans="1:9" x14ac:dyDescent="0.25">
      <c r="A989" s="2"/>
      <c r="D989" s="3"/>
      <c r="E989" s="3"/>
      <c r="F989" s="3"/>
      <c r="G989" s="3"/>
      <c r="H989" s="3"/>
      <c r="I989" s="3"/>
    </row>
    <row r="990" spans="1:9" x14ac:dyDescent="0.25">
      <c r="A990" s="2"/>
      <c r="D990" s="3"/>
      <c r="E990" s="3"/>
      <c r="F990" s="3"/>
      <c r="G990" s="3"/>
      <c r="H990" s="3"/>
      <c r="I990" s="3"/>
    </row>
    <row r="991" spans="1:9" x14ac:dyDescent="0.25">
      <c r="A991" s="2"/>
      <c r="D991" s="3"/>
      <c r="E991" s="3"/>
      <c r="F991" s="3"/>
      <c r="G991" s="3"/>
      <c r="H991" s="3"/>
      <c r="I991" s="3"/>
    </row>
    <row r="992" spans="1:9" x14ac:dyDescent="0.25">
      <c r="A992" s="2"/>
      <c r="D992" s="3"/>
      <c r="E992" s="3"/>
      <c r="F992" s="3"/>
      <c r="G992" s="3"/>
      <c r="H992" s="3"/>
      <c r="I992" s="3"/>
    </row>
    <row r="993" spans="1:9" x14ac:dyDescent="0.25">
      <c r="A993" s="2"/>
      <c r="D993" s="3"/>
      <c r="E993" s="3"/>
      <c r="F993" s="3"/>
      <c r="G993" s="3"/>
      <c r="H993" s="3"/>
      <c r="I993" s="3"/>
    </row>
    <row r="994" spans="1:9" x14ac:dyDescent="0.25">
      <c r="A994" s="2"/>
      <c r="D994" s="3"/>
      <c r="E994" s="3"/>
      <c r="F994" s="3"/>
      <c r="G994" s="3"/>
      <c r="H994" s="3"/>
      <c r="I994" s="3"/>
    </row>
    <row r="995" spans="1:9" x14ac:dyDescent="0.25">
      <c r="A995" s="2"/>
      <c r="D995" s="3"/>
      <c r="E995" s="3"/>
      <c r="F995" s="3"/>
      <c r="G995" s="3"/>
      <c r="H995" s="3"/>
      <c r="I995" s="3"/>
    </row>
    <row r="996" spans="1:9" x14ac:dyDescent="0.25">
      <c r="A996" s="2"/>
      <c r="D996" s="3"/>
      <c r="E996" s="3"/>
      <c r="F996" s="3"/>
      <c r="G996" s="3"/>
      <c r="H996" s="3"/>
      <c r="I996" s="3"/>
    </row>
    <row r="997" spans="1:9" x14ac:dyDescent="0.25">
      <c r="A997" s="2"/>
      <c r="D997" s="3"/>
      <c r="E997" s="3"/>
      <c r="F997" s="3"/>
      <c r="G997" s="3"/>
      <c r="H997" s="3"/>
      <c r="I997" s="3"/>
    </row>
    <row r="998" spans="1:9" x14ac:dyDescent="0.25">
      <c r="A998" s="2"/>
      <c r="D998" s="3"/>
      <c r="E998" s="3"/>
      <c r="F998" s="3"/>
      <c r="G998" s="3"/>
      <c r="H998" s="3"/>
      <c r="I998" s="3"/>
    </row>
    <row r="999" spans="1:9" x14ac:dyDescent="0.25">
      <c r="A999" s="2"/>
      <c r="D999" s="3"/>
      <c r="E999" s="3"/>
      <c r="F999" s="3"/>
      <c r="G999" s="3"/>
      <c r="H999" s="3"/>
      <c r="I999" s="3"/>
    </row>
    <row r="1000" spans="1:9" x14ac:dyDescent="0.25">
      <c r="A1000" s="2"/>
      <c r="D1000" s="3"/>
      <c r="E1000" s="3"/>
      <c r="F1000" s="3"/>
      <c r="G1000" s="3"/>
      <c r="H1000" s="3"/>
      <c r="I1000" s="3"/>
    </row>
    <row r="1001" spans="1:9" x14ac:dyDescent="0.25">
      <c r="A1001" s="2"/>
      <c r="D1001" s="3"/>
      <c r="E1001" s="3"/>
      <c r="F1001" s="3"/>
      <c r="G1001" s="3"/>
      <c r="H1001" s="3"/>
      <c r="I1001" s="3"/>
    </row>
    <row r="1002" spans="1:9" x14ac:dyDescent="0.25">
      <c r="A1002" s="2"/>
      <c r="D1002" s="3"/>
      <c r="E1002" s="3"/>
      <c r="F1002" s="3"/>
      <c r="G1002" s="3"/>
      <c r="H1002" s="3"/>
      <c r="I1002" s="3"/>
    </row>
    <row r="1003" spans="1:9" x14ac:dyDescent="0.25">
      <c r="A1003" s="2"/>
      <c r="D1003" s="3"/>
      <c r="E1003" s="3"/>
      <c r="F1003" s="3"/>
      <c r="G1003" s="3"/>
      <c r="H1003" s="3"/>
      <c r="I1003" s="3"/>
    </row>
    <row r="1004" spans="1:9" x14ac:dyDescent="0.25">
      <c r="A1004" s="2"/>
      <c r="D1004" s="3"/>
      <c r="E1004" s="3"/>
      <c r="F1004" s="3"/>
      <c r="G1004" s="3"/>
      <c r="H1004" s="3"/>
      <c r="I1004" s="3"/>
    </row>
    <row r="1005" spans="1:9" x14ac:dyDescent="0.25">
      <c r="A1005" s="2"/>
      <c r="D1005" s="3"/>
      <c r="E1005" s="3"/>
      <c r="F1005" s="3"/>
      <c r="G1005" s="3"/>
      <c r="H1005" s="3"/>
      <c r="I1005" s="3"/>
    </row>
    <row r="1006" spans="1:9" x14ac:dyDescent="0.25">
      <c r="A1006" s="2"/>
      <c r="D1006" s="3"/>
      <c r="E1006" s="3"/>
      <c r="F1006" s="3"/>
      <c r="G1006" s="3"/>
      <c r="H1006" s="3"/>
      <c r="I1006" s="3"/>
    </row>
    <row r="1007" spans="1:9" x14ac:dyDescent="0.25">
      <c r="A1007" s="2"/>
      <c r="D1007" s="3"/>
      <c r="E1007" s="3"/>
      <c r="F1007" s="3"/>
      <c r="G1007" s="3"/>
      <c r="H1007" s="3"/>
      <c r="I1007" s="3"/>
    </row>
    <row r="1008" spans="1:9" x14ac:dyDescent="0.25">
      <c r="A1008" s="2"/>
      <c r="D1008" s="3"/>
      <c r="E1008" s="3"/>
      <c r="F1008" s="3"/>
      <c r="G1008" s="3"/>
      <c r="H1008" s="3"/>
      <c r="I1008" s="3"/>
    </row>
    <row r="1009" spans="1:9" x14ac:dyDescent="0.25">
      <c r="A1009" s="2"/>
      <c r="D1009" s="3"/>
      <c r="E1009" s="3"/>
      <c r="F1009" s="3"/>
      <c r="G1009" s="3"/>
      <c r="H1009" s="3"/>
      <c r="I1009" s="3"/>
    </row>
    <row r="1010" spans="1:9" x14ac:dyDescent="0.25">
      <c r="A1010" s="2"/>
      <c r="D1010" s="3"/>
      <c r="E1010" s="3"/>
      <c r="F1010" s="3"/>
      <c r="G1010" s="3"/>
      <c r="H1010" s="3"/>
      <c r="I1010" s="3"/>
    </row>
    <row r="1011" spans="1:9" x14ac:dyDescent="0.25">
      <c r="A1011" s="2"/>
      <c r="D1011" s="3"/>
      <c r="E1011" s="3"/>
      <c r="F1011" s="3"/>
      <c r="G1011" s="3"/>
      <c r="H1011" s="3"/>
      <c r="I1011" s="3"/>
    </row>
    <row r="1012" spans="1:9" x14ac:dyDescent="0.25">
      <c r="A1012" s="2"/>
      <c r="D1012" s="3"/>
      <c r="E1012" s="3"/>
      <c r="F1012" s="3"/>
      <c r="G1012" s="3"/>
      <c r="H1012" s="3"/>
      <c r="I1012" s="3"/>
    </row>
    <row r="1013" spans="1:9" x14ac:dyDescent="0.25">
      <c r="A1013" s="2"/>
      <c r="D1013" s="3"/>
      <c r="E1013" s="3"/>
      <c r="F1013" s="3"/>
      <c r="G1013" s="3"/>
      <c r="H1013" s="3"/>
      <c r="I1013" s="3"/>
    </row>
    <row r="1014" spans="1:9" x14ac:dyDescent="0.25">
      <c r="A1014" s="2"/>
      <c r="D1014" s="3"/>
      <c r="E1014" s="3"/>
      <c r="F1014" s="3"/>
      <c r="G1014" s="3"/>
      <c r="H1014" s="3"/>
      <c r="I1014" s="3"/>
    </row>
    <row r="1015" spans="1:9" x14ac:dyDescent="0.25">
      <c r="A1015" s="2"/>
      <c r="D1015" s="3"/>
      <c r="E1015" s="3"/>
      <c r="F1015" s="3"/>
      <c r="G1015" s="3"/>
      <c r="H1015" s="3"/>
      <c r="I1015" s="3"/>
    </row>
    <row r="1016" spans="1:9" x14ac:dyDescent="0.25">
      <c r="A1016" s="2"/>
      <c r="D1016" s="3"/>
      <c r="E1016" s="3"/>
      <c r="F1016" s="3"/>
      <c r="G1016" s="3"/>
      <c r="H1016" s="3"/>
      <c r="I1016" s="3"/>
    </row>
    <row r="1017" spans="1:9" x14ac:dyDescent="0.25">
      <c r="A1017" s="2"/>
      <c r="D1017" s="3"/>
      <c r="E1017" s="3"/>
      <c r="F1017" s="3"/>
      <c r="G1017" s="3"/>
      <c r="H1017" s="3"/>
      <c r="I1017" s="3"/>
    </row>
    <row r="1018" spans="1:9" x14ac:dyDescent="0.25">
      <c r="A1018" s="2"/>
      <c r="D1018" s="3"/>
      <c r="E1018" s="3"/>
      <c r="F1018" s="3"/>
      <c r="G1018" s="3"/>
      <c r="H1018" s="3"/>
      <c r="I1018" s="3"/>
    </row>
    <row r="1019" spans="1:9" x14ac:dyDescent="0.25">
      <c r="A1019" s="2"/>
      <c r="D1019" s="3"/>
      <c r="E1019" s="3"/>
      <c r="F1019" s="3"/>
      <c r="G1019" s="3"/>
      <c r="H1019" s="3"/>
      <c r="I1019" s="3"/>
    </row>
    <row r="1020" spans="1:9" x14ac:dyDescent="0.25">
      <c r="A1020" s="2"/>
      <c r="D1020" s="3"/>
      <c r="E1020" s="3"/>
      <c r="F1020" s="3"/>
      <c r="G1020" s="3"/>
      <c r="H1020" s="3"/>
      <c r="I1020" s="3"/>
    </row>
    <row r="1021" spans="1:9" x14ac:dyDescent="0.25">
      <c r="A1021" s="2"/>
      <c r="D1021" s="3"/>
      <c r="E1021" s="3"/>
      <c r="F1021" s="3"/>
      <c r="G1021" s="3"/>
      <c r="H1021" s="3"/>
      <c r="I1021" s="3"/>
    </row>
    <row r="1022" spans="1:9" x14ac:dyDescent="0.25">
      <c r="A1022" s="2"/>
      <c r="D1022" s="3"/>
      <c r="E1022" s="3"/>
      <c r="F1022" s="3"/>
      <c r="G1022" s="3"/>
      <c r="H1022" s="3"/>
      <c r="I1022" s="3"/>
    </row>
    <row r="1023" spans="1:9" x14ac:dyDescent="0.25">
      <c r="A1023" s="2"/>
      <c r="D1023" s="3"/>
      <c r="E1023" s="3"/>
      <c r="F1023" s="3"/>
      <c r="G1023" s="3"/>
      <c r="H1023" s="3"/>
      <c r="I1023" s="3"/>
    </row>
    <row r="1024" spans="1:9" x14ac:dyDescent="0.25">
      <c r="A1024" s="2"/>
      <c r="D1024" s="3"/>
      <c r="E1024" s="3"/>
      <c r="F1024" s="3"/>
      <c r="G1024" s="3"/>
      <c r="H1024" s="3"/>
      <c r="I1024" s="3"/>
    </row>
    <row r="1025" spans="1:9" x14ac:dyDescent="0.25">
      <c r="A1025" s="2"/>
      <c r="D1025" s="3"/>
      <c r="E1025" s="3"/>
      <c r="F1025" s="3"/>
      <c r="G1025" s="3"/>
      <c r="H1025" s="3"/>
      <c r="I1025" s="3"/>
    </row>
    <row r="1026" spans="1:9" x14ac:dyDescent="0.25">
      <c r="A1026" s="2"/>
      <c r="D1026" s="3"/>
      <c r="E1026" s="3"/>
      <c r="F1026" s="3"/>
      <c r="G1026" s="3"/>
      <c r="H1026" s="3"/>
      <c r="I1026" s="3"/>
    </row>
    <row r="1027" spans="1:9" x14ac:dyDescent="0.25">
      <c r="A1027" s="2"/>
      <c r="D1027" s="3"/>
      <c r="E1027" s="3"/>
      <c r="F1027" s="3"/>
      <c r="G1027" s="3"/>
      <c r="H1027" s="3"/>
      <c r="I1027" s="3"/>
    </row>
    <row r="1028" spans="1:9" x14ac:dyDescent="0.25">
      <c r="A1028" s="2"/>
      <c r="D1028" s="3"/>
      <c r="E1028" s="3"/>
      <c r="F1028" s="3"/>
      <c r="G1028" s="3"/>
      <c r="H1028" s="3"/>
      <c r="I1028" s="3"/>
    </row>
    <row r="1029" spans="1:9" x14ac:dyDescent="0.25">
      <c r="A1029" s="2"/>
      <c r="D1029" s="3"/>
      <c r="E1029" s="3"/>
      <c r="F1029" s="3"/>
      <c r="G1029" s="3"/>
      <c r="H1029" s="3"/>
      <c r="I1029" s="3"/>
    </row>
    <row r="1030" spans="1:9" x14ac:dyDescent="0.25">
      <c r="A1030" s="2"/>
      <c r="D1030" s="3"/>
      <c r="E1030" s="3"/>
      <c r="F1030" s="3"/>
      <c r="G1030" s="3"/>
      <c r="H1030" s="3"/>
      <c r="I1030" s="3"/>
    </row>
    <row r="1031" spans="1:9" x14ac:dyDescent="0.25">
      <c r="A1031" s="2"/>
      <c r="D1031" s="3"/>
      <c r="E1031" s="3"/>
      <c r="F1031" s="3"/>
      <c r="G1031" s="3"/>
      <c r="H1031" s="3"/>
      <c r="I1031" s="3"/>
    </row>
    <row r="1032" spans="1:9" x14ac:dyDescent="0.25">
      <c r="A1032" s="2"/>
      <c r="D1032" s="3"/>
      <c r="E1032" s="3"/>
      <c r="F1032" s="3"/>
      <c r="G1032" s="3"/>
      <c r="H1032" s="3"/>
      <c r="I1032" s="3"/>
    </row>
    <row r="1033" spans="1:9" x14ac:dyDescent="0.25">
      <c r="A1033" s="2"/>
      <c r="D1033" s="3"/>
      <c r="E1033" s="3"/>
      <c r="F1033" s="3"/>
      <c r="G1033" s="3"/>
      <c r="H1033" s="3"/>
      <c r="I1033" s="3"/>
    </row>
    <row r="1034" spans="1:9" x14ac:dyDescent="0.25">
      <c r="A1034" s="2"/>
      <c r="D1034" s="3"/>
      <c r="E1034" s="3"/>
      <c r="F1034" s="3"/>
      <c r="G1034" s="3"/>
      <c r="H1034" s="3"/>
      <c r="I1034" s="3"/>
    </row>
    <row r="1035" spans="1:9" x14ac:dyDescent="0.25">
      <c r="A1035" s="2"/>
      <c r="D1035" s="3"/>
      <c r="E1035" s="3"/>
      <c r="F1035" s="3"/>
      <c r="G1035" s="3"/>
      <c r="H1035" s="3"/>
      <c r="I1035" s="3"/>
    </row>
    <row r="1036" spans="1:9" x14ac:dyDescent="0.25">
      <c r="A1036" s="2"/>
      <c r="D1036" s="3"/>
      <c r="E1036" s="3"/>
      <c r="F1036" s="3"/>
      <c r="G1036" s="3"/>
      <c r="H1036" s="3"/>
      <c r="I1036" s="3"/>
    </row>
    <row r="1037" spans="1:9" x14ac:dyDescent="0.25">
      <c r="A1037" s="2"/>
      <c r="D1037" s="3"/>
      <c r="E1037" s="3"/>
      <c r="F1037" s="3"/>
      <c r="G1037" s="3"/>
      <c r="H1037" s="3"/>
      <c r="I1037" s="3"/>
    </row>
    <row r="1038" spans="1:9" x14ac:dyDescent="0.25">
      <c r="A1038" s="2"/>
      <c r="D1038" s="3"/>
      <c r="E1038" s="3"/>
      <c r="F1038" s="3"/>
      <c r="G1038" s="3"/>
      <c r="H1038" s="3"/>
      <c r="I1038" s="3"/>
    </row>
    <row r="1039" spans="1:9" x14ac:dyDescent="0.25">
      <c r="A1039" s="2"/>
      <c r="D1039" s="3"/>
      <c r="E1039" s="3"/>
      <c r="F1039" s="3"/>
      <c r="G1039" s="3"/>
      <c r="H1039" s="3"/>
      <c r="I1039" s="3"/>
    </row>
    <row r="1040" spans="1:9" x14ac:dyDescent="0.25">
      <c r="A1040" s="2"/>
      <c r="D1040" s="3"/>
      <c r="E1040" s="3"/>
      <c r="F1040" s="3"/>
      <c r="G1040" s="3"/>
      <c r="H1040" s="3"/>
      <c r="I1040" s="3"/>
    </row>
    <row r="1041" spans="1:9" x14ac:dyDescent="0.25">
      <c r="A1041" s="2"/>
      <c r="D1041" s="3"/>
      <c r="E1041" s="3"/>
      <c r="F1041" s="3"/>
      <c r="G1041" s="3"/>
      <c r="H1041" s="3"/>
      <c r="I1041" s="3"/>
    </row>
    <row r="1042" spans="1:9" x14ac:dyDescent="0.25">
      <c r="A1042" s="2"/>
      <c r="D1042" s="3"/>
      <c r="E1042" s="3"/>
      <c r="F1042" s="3"/>
      <c r="G1042" s="3"/>
      <c r="H1042" s="3"/>
      <c r="I1042" s="3"/>
    </row>
    <row r="1043" spans="1:9" x14ac:dyDescent="0.25">
      <c r="A1043" s="2"/>
      <c r="D1043" s="3"/>
      <c r="E1043" s="3"/>
      <c r="F1043" s="3"/>
      <c r="G1043" s="3"/>
      <c r="H1043" s="3"/>
      <c r="I1043" s="3"/>
    </row>
    <row r="1044" spans="1:9" x14ac:dyDescent="0.25">
      <c r="A1044" s="2"/>
      <c r="D1044" s="3"/>
      <c r="E1044" s="3"/>
      <c r="F1044" s="3"/>
      <c r="G1044" s="3"/>
      <c r="H1044" s="3"/>
      <c r="I1044" s="3"/>
    </row>
    <row r="1045" spans="1:9" x14ac:dyDescent="0.25">
      <c r="A1045" s="2"/>
      <c r="D1045" s="3"/>
      <c r="E1045" s="3"/>
      <c r="F1045" s="3"/>
      <c r="G1045" s="3"/>
      <c r="H1045" s="3"/>
      <c r="I1045" s="3"/>
    </row>
    <row r="1046" spans="1:9" x14ac:dyDescent="0.25">
      <c r="A1046" s="2"/>
      <c r="D1046" s="3"/>
      <c r="E1046" s="3"/>
      <c r="F1046" s="3"/>
      <c r="G1046" s="3"/>
      <c r="H1046" s="3"/>
      <c r="I1046" s="3"/>
    </row>
    <row r="1047" spans="1:9" x14ac:dyDescent="0.25">
      <c r="A1047" s="2"/>
      <c r="D1047" s="3"/>
      <c r="E1047" s="3"/>
      <c r="F1047" s="3"/>
      <c r="G1047" s="3"/>
      <c r="H1047" s="3"/>
      <c r="I1047" s="3"/>
    </row>
    <row r="1048" spans="1:9" x14ac:dyDescent="0.25">
      <c r="A1048" s="2"/>
      <c r="D1048" s="3"/>
      <c r="E1048" s="3"/>
      <c r="F1048" s="3"/>
      <c r="G1048" s="3"/>
      <c r="H1048" s="3"/>
      <c r="I1048" s="3"/>
    </row>
    <row r="1049" spans="1:9" x14ac:dyDescent="0.25">
      <c r="A1049" s="2"/>
      <c r="D1049" s="3"/>
      <c r="E1049" s="3"/>
      <c r="F1049" s="3"/>
      <c r="G1049" s="3"/>
      <c r="H1049" s="3"/>
      <c r="I1049" s="3"/>
    </row>
    <row r="1050" spans="1:9" x14ac:dyDescent="0.25">
      <c r="A1050" s="2"/>
      <c r="D1050" s="3"/>
      <c r="E1050" s="3"/>
      <c r="F1050" s="3"/>
      <c r="G1050" s="3"/>
      <c r="H1050" s="3"/>
      <c r="I1050" s="3"/>
    </row>
    <row r="1051" spans="1:9" x14ac:dyDescent="0.25">
      <c r="A1051" s="2"/>
      <c r="D1051" s="3"/>
      <c r="E1051" s="3"/>
      <c r="F1051" s="3"/>
      <c r="G1051" s="3"/>
      <c r="H1051" s="3"/>
      <c r="I1051" s="3"/>
    </row>
    <row r="1052" spans="1:9" x14ac:dyDescent="0.25">
      <c r="A1052" s="2"/>
      <c r="D1052" s="3"/>
      <c r="E1052" s="3"/>
      <c r="F1052" s="3"/>
      <c r="G1052" s="3"/>
      <c r="H1052" s="3"/>
      <c r="I1052" s="3"/>
    </row>
    <row r="1053" spans="1:9" x14ac:dyDescent="0.25">
      <c r="A1053" s="2"/>
      <c r="D1053" s="3"/>
      <c r="E1053" s="3"/>
      <c r="F1053" s="3"/>
      <c r="G1053" s="3"/>
      <c r="H1053" s="3"/>
      <c r="I1053" s="3"/>
    </row>
    <row r="1054" spans="1:9" x14ac:dyDescent="0.25">
      <c r="A1054" s="2"/>
      <c r="D1054" s="3"/>
      <c r="E1054" s="3"/>
      <c r="F1054" s="3"/>
      <c r="G1054" s="3"/>
      <c r="H1054" s="3"/>
      <c r="I1054" s="3"/>
    </row>
    <row r="1055" spans="1:9" x14ac:dyDescent="0.25">
      <c r="A1055" s="2"/>
      <c r="D1055" s="3"/>
      <c r="E1055" s="3"/>
      <c r="F1055" s="3"/>
      <c r="G1055" s="3"/>
      <c r="H1055" s="3"/>
      <c r="I1055" s="3"/>
    </row>
    <row r="1056" spans="1:9" x14ac:dyDescent="0.25">
      <c r="A1056" s="2"/>
      <c r="D1056" s="3"/>
      <c r="E1056" s="3"/>
      <c r="F1056" s="3"/>
      <c r="G1056" s="3"/>
      <c r="H1056" s="3"/>
      <c r="I1056" s="3"/>
    </row>
    <row r="1057" spans="1:9" x14ac:dyDescent="0.25">
      <c r="A1057" s="2"/>
      <c r="D1057" s="3"/>
      <c r="E1057" s="3"/>
      <c r="F1057" s="3"/>
      <c r="G1057" s="3"/>
      <c r="H1057" s="3"/>
      <c r="I1057" s="3"/>
    </row>
    <row r="1058" spans="1:9" x14ac:dyDescent="0.25">
      <c r="A1058" s="2"/>
      <c r="D1058" s="3"/>
      <c r="E1058" s="3"/>
      <c r="F1058" s="3"/>
      <c r="G1058" s="3"/>
      <c r="H1058" s="3"/>
      <c r="I1058" s="3"/>
    </row>
    <row r="1059" spans="1:9" x14ac:dyDescent="0.25">
      <c r="A1059" s="2"/>
      <c r="D1059" s="3"/>
      <c r="E1059" s="3"/>
      <c r="F1059" s="3"/>
      <c r="G1059" s="3"/>
      <c r="H1059" s="3"/>
      <c r="I1059" s="3"/>
    </row>
    <row r="1060" spans="1:9" x14ac:dyDescent="0.25">
      <c r="A1060" s="2"/>
      <c r="D1060" s="3"/>
      <c r="E1060" s="3"/>
      <c r="F1060" s="3"/>
      <c r="G1060" s="3"/>
      <c r="H1060" s="3"/>
      <c r="I1060" s="3"/>
    </row>
    <row r="1061" spans="1:9" x14ac:dyDescent="0.25">
      <c r="A1061" s="2"/>
      <c r="D1061" s="3"/>
      <c r="E1061" s="3"/>
      <c r="F1061" s="3"/>
      <c r="G1061" s="3"/>
      <c r="H1061" s="3"/>
      <c r="I1061" s="3"/>
    </row>
    <row r="1062" spans="1:9" x14ac:dyDescent="0.25">
      <c r="A1062" s="2"/>
      <c r="D1062" s="3"/>
      <c r="E1062" s="3"/>
      <c r="F1062" s="3"/>
      <c r="G1062" s="3"/>
      <c r="H1062" s="3"/>
      <c r="I1062" s="3"/>
    </row>
    <row r="1063" spans="1:9" x14ac:dyDescent="0.25">
      <c r="A1063" s="2"/>
      <c r="D1063" s="3"/>
      <c r="E1063" s="3"/>
      <c r="F1063" s="3"/>
      <c r="G1063" s="3"/>
      <c r="H1063" s="3"/>
      <c r="I1063" s="3"/>
    </row>
    <row r="1064" spans="1:9" x14ac:dyDescent="0.25">
      <c r="A1064" s="2"/>
      <c r="D1064" s="3"/>
      <c r="E1064" s="3"/>
      <c r="F1064" s="3"/>
      <c r="G1064" s="3"/>
      <c r="H1064" s="3"/>
      <c r="I1064" s="3"/>
    </row>
    <row r="1065" spans="1:9" x14ac:dyDescent="0.25">
      <c r="A1065" s="2"/>
      <c r="D1065" s="3"/>
      <c r="E1065" s="3"/>
      <c r="F1065" s="3"/>
      <c r="G1065" s="3"/>
      <c r="H1065" s="3"/>
      <c r="I1065" s="3"/>
    </row>
    <row r="1066" spans="1:9" x14ac:dyDescent="0.25">
      <c r="A1066" s="2"/>
      <c r="D1066" s="3"/>
      <c r="E1066" s="3"/>
      <c r="F1066" s="3"/>
      <c r="G1066" s="3"/>
      <c r="H1066" s="3"/>
      <c r="I1066" s="3"/>
    </row>
    <row r="1067" spans="1:9" x14ac:dyDescent="0.25">
      <c r="A1067" s="2"/>
      <c r="D1067" s="3"/>
      <c r="E1067" s="3"/>
      <c r="F1067" s="3"/>
      <c r="G1067" s="3"/>
      <c r="H1067" s="3"/>
      <c r="I1067" s="3"/>
    </row>
    <row r="1068" spans="1:9" x14ac:dyDescent="0.25">
      <c r="A1068" s="2"/>
      <c r="D1068" s="3"/>
      <c r="E1068" s="3"/>
      <c r="F1068" s="3"/>
      <c r="G1068" s="3"/>
      <c r="H1068" s="3"/>
      <c r="I1068" s="3"/>
    </row>
    <row r="1069" spans="1:9" x14ac:dyDescent="0.25">
      <c r="A1069" s="2"/>
      <c r="D1069" s="3"/>
      <c r="E1069" s="3"/>
      <c r="F1069" s="3"/>
      <c r="G1069" s="3"/>
      <c r="H1069" s="3"/>
      <c r="I1069" s="3"/>
    </row>
    <row r="1070" spans="1:9" x14ac:dyDescent="0.25">
      <c r="A1070" s="2"/>
    </row>
    <row r="1071" spans="1:9" x14ac:dyDescent="0.25">
      <c r="A1071" s="2"/>
    </row>
    <row r="1072" spans="1:9" x14ac:dyDescent="0.25">
      <c r="A1072" s="2"/>
    </row>
    <row r="1073" spans="1:5" x14ac:dyDescent="0.25">
      <c r="A1073" s="2"/>
    </row>
    <row r="1074" spans="1:5" x14ac:dyDescent="0.25">
      <c r="A1074" s="2"/>
      <c r="D1074" s="3"/>
      <c r="E1074" s="3"/>
    </row>
    <row r="1075" spans="1:5" x14ac:dyDescent="0.25">
      <c r="A1075" s="2"/>
      <c r="D1075" s="3"/>
      <c r="E1075" s="3"/>
    </row>
    <row r="1076" spans="1:5" x14ac:dyDescent="0.25">
      <c r="A1076" s="2"/>
      <c r="D1076" s="3"/>
      <c r="E1076" s="3"/>
    </row>
    <row r="1077" spans="1:5" x14ac:dyDescent="0.25">
      <c r="A1077" s="2"/>
      <c r="D1077" s="3"/>
      <c r="E1077" s="3"/>
    </row>
    <row r="1078" spans="1:5" x14ac:dyDescent="0.25">
      <c r="A1078" s="2"/>
      <c r="D1078" s="3"/>
      <c r="E1078" s="3"/>
    </row>
    <row r="1079" spans="1:5" x14ac:dyDescent="0.25">
      <c r="A1079" s="2"/>
      <c r="D1079" s="3"/>
      <c r="E1079" s="3"/>
    </row>
    <row r="1080" spans="1:5" x14ac:dyDescent="0.25">
      <c r="A1080" s="2"/>
      <c r="D1080" s="3"/>
      <c r="E1080" s="3"/>
    </row>
    <row r="1081" spans="1:5" x14ac:dyDescent="0.25">
      <c r="A1081" s="2"/>
      <c r="D1081" s="3"/>
      <c r="E1081" s="3"/>
    </row>
    <row r="1082" spans="1:5" x14ac:dyDescent="0.25">
      <c r="A1082" s="2"/>
      <c r="D1082" s="3"/>
      <c r="E1082" s="3"/>
    </row>
    <row r="1083" spans="1:5" x14ac:dyDescent="0.25">
      <c r="A1083" s="2"/>
      <c r="D1083" s="3"/>
      <c r="E1083" s="3"/>
    </row>
    <row r="1084" spans="1:5" x14ac:dyDescent="0.25">
      <c r="A1084" s="2"/>
      <c r="D1084" s="3"/>
      <c r="E1084" s="3"/>
    </row>
    <row r="1085" spans="1:5" x14ac:dyDescent="0.25">
      <c r="A1085" s="2"/>
      <c r="D1085" s="3"/>
      <c r="E1085" s="3"/>
    </row>
    <row r="1086" spans="1:5" x14ac:dyDescent="0.25">
      <c r="A1086" s="2"/>
      <c r="D1086" s="3"/>
      <c r="E1086" s="3"/>
    </row>
    <row r="1087" spans="1:5" x14ac:dyDescent="0.25">
      <c r="A1087" s="2"/>
      <c r="D1087" s="3"/>
      <c r="E1087" s="3"/>
    </row>
    <row r="1088" spans="1:5" x14ac:dyDescent="0.25">
      <c r="A1088" s="2"/>
      <c r="D1088" s="3"/>
      <c r="E1088" s="3"/>
    </row>
    <row r="1089" spans="1:5" x14ac:dyDescent="0.25">
      <c r="A1089" s="2"/>
      <c r="D1089" s="3"/>
      <c r="E1089" s="3"/>
    </row>
    <row r="1090" spans="1:5" x14ac:dyDescent="0.25">
      <c r="A1090" s="2"/>
      <c r="D1090" s="3"/>
      <c r="E1090" s="3"/>
    </row>
    <row r="1091" spans="1:5" x14ac:dyDescent="0.25">
      <c r="A1091" s="2"/>
      <c r="D1091" s="3"/>
      <c r="E1091" s="3"/>
    </row>
    <row r="1092" spans="1:5" x14ac:dyDescent="0.25">
      <c r="A1092" s="2"/>
      <c r="D1092" s="3"/>
      <c r="E1092" s="3"/>
    </row>
    <row r="1093" spans="1:5" x14ac:dyDescent="0.25">
      <c r="A1093" s="2"/>
      <c r="D1093" s="3"/>
      <c r="E1093" s="3"/>
    </row>
    <row r="1094" spans="1:5" x14ac:dyDescent="0.25">
      <c r="A1094" s="2"/>
      <c r="D1094" s="3"/>
      <c r="E1094" s="3"/>
    </row>
    <row r="1095" spans="1:5" x14ac:dyDescent="0.25">
      <c r="A1095" s="2"/>
      <c r="D1095" s="3"/>
      <c r="E1095" s="3"/>
    </row>
    <row r="1096" spans="1:5" x14ac:dyDescent="0.25">
      <c r="A1096" s="2"/>
      <c r="D1096" s="3"/>
      <c r="E1096" s="3"/>
    </row>
    <row r="1097" spans="1:5" x14ac:dyDescent="0.25">
      <c r="A1097" s="2"/>
      <c r="D1097" s="3"/>
      <c r="E1097" s="3"/>
    </row>
    <row r="1098" spans="1:5" x14ac:dyDescent="0.25">
      <c r="A1098" s="2"/>
      <c r="D1098" s="3"/>
      <c r="E1098" s="3"/>
    </row>
    <row r="1099" spans="1:5" x14ac:dyDescent="0.25">
      <c r="A1099" s="2"/>
      <c r="D1099" s="3"/>
      <c r="E1099" s="3"/>
    </row>
    <row r="1100" spans="1:5" x14ac:dyDescent="0.25">
      <c r="A1100" s="2"/>
      <c r="D1100" s="3"/>
      <c r="E1100" s="3"/>
    </row>
    <row r="1101" spans="1:5" x14ac:dyDescent="0.25">
      <c r="A1101" s="2"/>
      <c r="D1101" s="3"/>
      <c r="E1101" s="3"/>
    </row>
    <row r="1102" spans="1:5" x14ac:dyDescent="0.25">
      <c r="A1102" s="2"/>
      <c r="D1102" s="3"/>
      <c r="E1102" s="3"/>
    </row>
    <row r="1103" spans="1:5" x14ac:dyDescent="0.25">
      <c r="A1103" s="2"/>
      <c r="D1103" s="3"/>
      <c r="E1103" s="3"/>
    </row>
    <row r="1104" spans="1:5" x14ac:dyDescent="0.25">
      <c r="A1104" s="2"/>
      <c r="D1104" s="3"/>
      <c r="E1104" s="3"/>
    </row>
    <row r="1105" spans="1:5" x14ac:dyDescent="0.25">
      <c r="A1105" s="2"/>
      <c r="D1105" s="3"/>
      <c r="E1105" s="3"/>
    </row>
    <row r="1106" spans="1:5" x14ac:dyDescent="0.25">
      <c r="A1106" s="2"/>
    </row>
    <row r="1107" spans="1:5" x14ac:dyDescent="0.25">
      <c r="A1107" s="2"/>
    </row>
    <row r="1108" spans="1:5" x14ac:dyDescent="0.25">
      <c r="A1108" s="2"/>
    </row>
    <row r="1109" spans="1:5" x14ac:dyDescent="0.25">
      <c r="A1109" s="2"/>
    </row>
    <row r="1110" spans="1:5" x14ac:dyDescent="0.25">
      <c r="A1110" s="2"/>
    </row>
    <row r="1111" spans="1:5" x14ac:dyDescent="0.25">
      <c r="A1111" s="2"/>
    </row>
    <row r="1112" spans="1:5" x14ac:dyDescent="0.25">
      <c r="A1112" s="2"/>
    </row>
    <row r="1113" spans="1:5" x14ac:dyDescent="0.25">
      <c r="A1113" s="2"/>
    </row>
    <row r="1114" spans="1:5" x14ac:dyDescent="0.25">
      <c r="A1114" s="2"/>
    </row>
    <row r="1115" spans="1:5" x14ac:dyDescent="0.25">
      <c r="A1115" s="2"/>
      <c r="D1115" s="3"/>
      <c r="E1115" s="3"/>
    </row>
    <row r="1116" spans="1:5" x14ac:dyDescent="0.25">
      <c r="A1116" s="2"/>
      <c r="D1116" s="3"/>
      <c r="E1116" s="3"/>
    </row>
    <row r="1117" spans="1:5" x14ac:dyDescent="0.25">
      <c r="A1117" s="2"/>
      <c r="D1117" s="3"/>
      <c r="E1117" s="3"/>
    </row>
    <row r="1118" spans="1:5" x14ac:dyDescent="0.25">
      <c r="A1118" s="2"/>
      <c r="D1118" s="3"/>
      <c r="E1118" s="3"/>
    </row>
    <row r="1119" spans="1:5" x14ac:dyDescent="0.25">
      <c r="A1119" s="2"/>
      <c r="D1119" s="3"/>
      <c r="E1119" s="3"/>
    </row>
    <row r="1120" spans="1:5" x14ac:dyDescent="0.25">
      <c r="A1120" s="2"/>
      <c r="D1120" s="3"/>
      <c r="E1120" s="3"/>
    </row>
    <row r="1121" spans="1:5" x14ac:dyDescent="0.25">
      <c r="A1121" s="2"/>
      <c r="D1121" s="3"/>
      <c r="E1121" s="3"/>
    </row>
    <row r="1122" spans="1:5" x14ac:dyDescent="0.25">
      <c r="A1122" s="2"/>
      <c r="D1122" s="3"/>
      <c r="E1122" s="3"/>
    </row>
    <row r="1123" spans="1:5" x14ac:dyDescent="0.25">
      <c r="A1123" s="2"/>
      <c r="D1123" s="3"/>
      <c r="E1123" s="3"/>
    </row>
    <row r="1124" spans="1:5" x14ac:dyDescent="0.25">
      <c r="A1124" s="2"/>
      <c r="D1124" s="3"/>
      <c r="E1124" s="3"/>
    </row>
    <row r="1125" spans="1:5" x14ac:dyDescent="0.25">
      <c r="A1125" s="2"/>
      <c r="D1125" s="3"/>
      <c r="E1125" s="3"/>
    </row>
    <row r="1126" spans="1:5" x14ac:dyDescent="0.25">
      <c r="A1126" s="2"/>
      <c r="D1126" s="3"/>
      <c r="E1126" s="3"/>
    </row>
    <row r="1127" spans="1:5" x14ac:dyDescent="0.25">
      <c r="A1127" s="2"/>
      <c r="D1127" s="3"/>
      <c r="E1127" s="3"/>
    </row>
    <row r="1128" spans="1:5" x14ac:dyDescent="0.25">
      <c r="A1128" s="2"/>
      <c r="D1128" s="3"/>
      <c r="E1128" s="3"/>
    </row>
    <row r="1129" spans="1:5" x14ac:dyDescent="0.25">
      <c r="A1129" s="2"/>
      <c r="D1129" s="3"/>
      <c r="E1129" s="3"/>
    </row>
    <row r="1130" spans="1:5" x14ac:dyDescent="0.25">
      <c r="A1130" s="2"/>
      <c r="D1130" s="3"/>
      <c r="E1130" s="3"/>
    </row>
    <row r="1131" spans="1:5" x14ac:dyDescent="0.25">
      <c r="A1131" s="2"/>
      <c r="D1131" s="3"/>
      <c r="E1131" s="3"/>
    </row>
    <row r="1132" spans="1:5" x14ac:dyDescent="0.25">
      <c r="A1132" s="2"/>
      <c r="D1132" s="3"/>
      <c r="E1132" s="3"/>
    </row>
    <row r="1133" spans="1:5" x14ac:dyDescent="0.25">
      <c r="A1133" s="2"/>
      <c r="D1133" s="3"/>
      <c r="E1133" s="3"/>
    </row>
    <row r="1134" spans="1:5" x14ac:dyDescent="0.25">
      <c r="A1134" s="2"/>
      <c r="D1134" s="3"/>
      <c r="E1134" s="3"/>
    </row>
    <row r="1135" spans="1:5" x14ac:dyDescent="0.25">
      <c r="A1135" s="2"/>
      <c r="D1135" s="3"/>
      <c r="E1135" s="3"/>
    </row>
    <row r="1136" spans="1:5" x14ac:dyDescent="0.25">
      <c r="A1136" s="2"/>
      <c r="D1136" s="3"/>
      <c r="E1136" s="3"/>
    </row>
    <row r="1137" spans="1:5" x14ac:dyDescent="0.25">
      <c r="A1137" s="2"/>
      <c r="D1137" s="3"/>
      <c r="E1137" s="3"/>
    </row>
    <row r="1138" spans="1:5" x14ac:dyDescent="0.25">
      <c r="A1138" s="2"/>
      <c r="D1138" s="3"/>
      <c r="E1138" s="3"/>
    </row>
    <row r="1139" spans="1:5" x14ac:dyDescent="0.25">
      <c r="A1139" s="2"/>
      <c r="D1139" s="3"/>
      <c r="E1139" s="3"/>
    </row>
    <row r="1140" spans="1:5" x14ac:dyDescent="0.25">
      <c r="A1140" s="2"/>
      <c r="D1140" s="3"/>
      <c r="E1140" s="3"/>
    </row>
    <row r="1141" spans="1:5" x14ac:dyDescent="0.25">
      <c r="A1141" s="2"/>
      <c r="D1141" s="3"/>
      <c r="E1141" s="3"/>
    </row>
    <row r="1142" spans="1:5" x14ac:dyDescent="0.25">
      <c r="A1142" s="2"/>
      <c r="D1142" s="3"/>
      <c r="E1142" s="3"/>
    </row>
    <row r="1143" spans="1:5" x14ac:dyDescent="0.25">
      <c r="A1143" s="2"/>
      <c r="D1143" s="3"/>
      <c r="E1143" s="3"/>
    </row>
    <row r="1144" spans="1:5" x14ac:dyDescent="0.25">
      <c r="A1144" s="2"/>
      <c r="D1144" s="3"/>
      <c r="E1144" s="3"/>
    </row>
    <row r="1145" spans="1:5" x14ac:dyDescent="0.25">
      <c r="A1145" s="2"/>
      <c r="D1145" s="3"/>
      <c r="E1145" s="3"/>
    </row>
    <row r="1146" spans="1:5" x14ac:dyDescent="0.25">
      <c r="A1146" s="2"/>
      <c r="B1146" s="3"/>
      <c r="C1146" s="3"/>
      <c r="D1146" s="3"/>
      <c r="E1146" s="3"/>
    </row>
    <row r="1147" spans="1:5" x14ac:dyDescent="0.25">
      <c r="A1147" s="2"/>
      <c r="B1147" s="3"/>
      <c r="C1147" s="3"/>
      <c r="D1147" s="3"/>
      <c r="E1147" s="3"/>
    </row>
    <row r="1148" spans="1:5" x14ac:dyDescent="0.25">
      <c r="A1148" s="2"/>
      <c r="B1148" s="3"/>
      <c r="C1148" s="3"/>
      <c r="D1148" s="3"/>
      <c r="E1148" s="3"/>
    </row>
    <row r="1149" spans="1:5" x14ac:dyDescent="0.25">
      <c r="A1149" s="2"/>
      <c r="B1149" s="3"/>
      <c r="C1149" s="3"/>
      <c r="D1149" s="3"/>
      <c r="E1149" s="3"/>
    </row>
    <row r="1150" spans="1:5" x14ac:dyDescent="0.25">
      <c r="A1150" s="2"/>
      <c r="B1150" s="3"/>
      <c r="C1150" s="3"/>
      <c r="D1150" s="3"/>
      <c r="E1150" s="3"/>
    </row>
    <row r="1151" spans="1:5" x14ac:dyDescent="0.25">
      <c r="A1151" s="2"/>
      <c r="B1151" s="3"/>
      <c r="C1151" s="3"/>
      <c r="D1151" s="3"/>
      <c r="E1151" s="3"/>
    </row>
    <row r="1152" spans="1:5" x14ac:dyDescent="0.25">
      <c r="A1152" s="2"/>
      <c r="B1152" s="3"/>
      <c r="C1152" s="3"/>
      <c r="D1152" s="3"/>
      <c r="E1152" s="3"/>
    </row>
    <row r="1153" spans="1:5" x14ac:dyDescent="0.25">
      <c r="A1153" s="2"/>
      <c r="B1153" s="3"/>
      <c r="C1153" s="3"/>
      <c r="D1153" s="3"/>
      <c r="E1153" s="3"/>
    </row>
    <row r="1154" spans="1:5" x14ac:dyDescent="0.25">
      <c r="A1154" s="2"/>
      <c r="B1154" s="3"/>
      <c r="C1154" s="3"/>
      <c r="D1154" s="3"/>
      <c r="E1154" s="3"/>
    </row>
    <row r="1155" spans="1:5" x14ac:dyDescent="0.25">
      <c r="A1155" s="2"/>
      <c r="B1155" s="3"/>
      <c r="C1155" s="3"/>
      <c r="D1155" s="3"/>
      <c r="E1155" s="3"/>
    </row>
    <row r="1156" spans="1:5" x14ac:dyDescent="0.25">
      <c r="A1156" s="2"/>
      <c r="B1156" s="3"/>
      <c r="C1156" s="3"/>
      <c r="D1156" s="3"/>
      <c r="E1156" s="3"/>
    </row>
    <row r="1157" spans="1:5" x14ac:dyDescent="0.25">
      <c r="A1157" s="2"/>
      <c r="B1157" s="3"/>
      <c r="C1157" s="3"/>
      <c r="D1157" s="3"/>
      <c r="E1157" s="3"/>
    </row>
    <row r="1158" spans="1:5" x14ac:dyDescent="0.25">
      <c r="A1158" s="2"/>
      <c r="B1158" s="3"/>
      <c r="C1158" s="3"/>
      <c r="D1158" s="3"/>
      <c r="E1158" s="3"/>
    </row>
    <row r="1159" spans="1:5" x14ac:dyDescent="0.25">
      <c r="A1159" s="2"/>
      <c r="B1159" s="3"/>
      <c r="C1159" s="3"/>
      <c r="D1159" s="3"/>
      <c r="E1159" s="3"/>
    </row>
    <row r="1160" spans="1:5" x14ac:dyDescent="0.25">
      <c r="A1160" s="2"/>
      <c r="B1160" s="3"/>
      <c r="C1160" s="3"/>
      <c r="D1160" s="3"/>
      <c r="E1160" s="3"/>
    </row>
    <row r="1161" spans="1:5" x14ac:dyDescent="0.25">
      <c r="A1161" s="2"/>
      <c r="B1161" s="3"/>
      <c r="C1161" s="3"/>
      <c r="D1161" s="3"/>
      <c r="E1161" s="3"/>
    </row>
    <row r="1162" spans="1:5" x14ac:dyDescent="0.25">
      <c r="A1162" s="2"/>
      <c r="B1162" s="3"/>
      <c r="C1162" s="3"/>
      <c r="D1162" s="3"/>
      <c r="E1162" s="3"/>
    </row>
    <row r="1163" spans="1:5" x14ac:dyDescent="0.25">
      <c r="A1163" s="2"/>
      <c r="B1163" s="3"/>
      <c r="C1163" s="3"/>
      <c r="D1163" s="3"/>
      <c r="E1163" s="3"/>
    </row>
    <row r="1164" spans="1:5" x14ac:dyDescent="0.25">
      <c r="A1164" s="2"/>
      <c r="B1164" s="3"/>
      <c r="C1164" s="3"/>
      <c r="D1164" s="3"/>
      <c r="E1164" s="3"/>
    </row>
    <row r="1165" spans="1:5" x14ac:dyDescent="0.25">
      <c r="A1165" s="2"/>
      <c r="B1165" s="3"/>
      <c r="C1165" s="3"/>
      <c r="D1165" s="3"/>
      <c r="E1165" s="3"/>
    </row>
    <row r="1166" spans="1:5" x14ac:dyDescent="0.25">
      <c r="A1166" s="2"/>
      <c r="B1166" s="3"/>
      <c r="C1166" s="3"/>
      <c r="D1166" s="3"/>
      <c r="E1166" s="3"/>
    </row>
    <row r="1167" spans="1:5" x14ac:dyDescent="0.25">
      <c r="A1167" s="2"/>
      <c r="B1167" s="3"/>
      <c r="C1167" s="3"/>
      <c r="D1167" s="3"/>
      <c r="E1167" s="3"/>
    </row>
    <row r="1168" spans="1:5" x14ac:dyDescent="0.25">
      <c r="A1168" s="2"/>
      <c r="B1168" s="3"/>
      <c r="C1168" s="3"/>
      <c r="D1168" s="3"/>
      <c r="E1168" s="3"/>
    </row>
    <row r="1169" spans="1:5" x14ac:dyDescent="0.25">
      <c r="A1169" s="2"/>
      <c r="B1169" s="3"/>
      <c r="C1169" s="3"/>
      <c r="D1169" s="3"/>
      <c r="E1169" s="3"/>
    </row>
    <row r="1170" spans="1:5" x14ac:dyDescent="0.25">
      <c r="A1170" s="2"/>
      <c r="B1170" s="3"/>
      <c r="C1170" s="3"/>
      <c r="D1170" s="3"/>
      <c r="E1170" s="3"/>
    </row>
    <row r="1171" spans="1:5" x14ac:dyDescent="0.25">
      <c r="A1171" s="2"/>
      <c r="B1171" s="3"/>
      <c r="C1171" s="3"/>
      <c r="D1171" s="3"/>
      <c r="E1171" s="3"/>
    </row>
    <row r="1172" spans="1:5" x14ac:dyDescent="0.25">
      <c r="A1172" s="2"/>
      <c r="B1172" s="3"/>
      <c r="C1172" s="3"/>
      <c r="D1172" s="3"/>
      <c r="E1172" s="3"/>
    </row>
    <row r="1173" spans="1:5" x14ac:dyDescent="0.25">
      <c r="A1173" s="2"/>
      <c r="B1173" s="3"/>
      <c r="C1173" s="3"/>
      <c r="D1173" s="3"/>
      <c r="E1173" s="3"/>
    </row>
    <row r="1174" spans="1:5" x14ac:dyDescent="0.25">
      <c r="A1174" s="2"/>
      <c r="B1174" s="3"/>
      <c r="C1174" s="3"/>
      <c r="D1174" s="3"/>
      <c r="E1174" s="3"/>
    </row>
    <row r="1175" spans="1:5" x14ac:dyDescent="0.25">
      <c r="A1175" s="2"/>
      <c r="B1175" s="3"/>
      <c r="C1175" s="3"/>
      <c r="D1175" s="3"/>
      <c r="E1175" s="3"/>
    </row>
    <row r="1176" spans="1:5" x14ac:dyDescent="0.25">
      <c r="A1176" s="2"/>
      <c r="B1176" s="3"/>
      <c r="C1176" s="3"/>
      <c r="D1176" s="3"/>
      <c r="E1176" s="3"/>
    </row>
    <row r="1177" spans="1:5" x14ac:dyDescent="0.25">
      <c r="A1177" s="2"/>
      <c r="B1177" s="3"/>
      <c r="C1177" s="3"/>
      <c r="D1177" s="3"/>
      <c r="E1177" s="3"/>
    </row>
    <row r="1178" spans="1:5" x14ac:dyDescent="0.25">
      <c r="A1178" s="2"/>
      <c r="B1178" s="3"/>
      <c r="C1178" s="3"/>
      <c r="D1178" s="3"/>
      <c r="E1178" s="3"/>
    </row>
    <row r="1179" spans="1:5" x14ac:dyDescent="0.25">
      <c r="A1179" s="2"/>
      <c r="B1179" s="3"/>
      <c r="C1179" s="3"/>
      <c r="D1179" s="3"/>
      <c r="E1179" s="3"/>
    </row>
    <row r="1180" spans="1:5" x14ac:dyDescent="0.25">
      <c r="A1180" s="2"/>
      <c r="B1180" s="3"/>
      <c r="C1180" s="3"/>
      <c r="D1180" s="3"/>
      <c r="E1180" s="3"/>
    </row>
    <row r="1181" spans="1:5" x14ac:dyDescent="0.25">
      <c r="A1181" s="2"/>
      <c r="B1181" s="3"/>
      <c r="C1181" s="3"/>
      <c r="D1181" s="3"/>
      <c r="E1181" s="3"/>
    </row>
    <row r="1182" spans="1:5" x14ac:dyDescent="0.25">
      <c r="A1182" s="2"/>
      <c r="B1182" s="3"/>
      <c r="C1182" s="3"/>
      <c r="D1182" s="3"/>
      <c r="E1182" s="3"/>
    </row>
    <row r="1183" spans="1:5" x14ac:dyDescent="0.25">
      <c r="A1183" s="2"/>
      <c r="B1183" s="3"/>
      <c r="C1183" s="3"/>
      <c r="D1183" s="3"/>
      <c r="E1183" s="3"/>
    </row>
    <row r="1184" spans="1:5" x14ac:dyDescent="0.25">
      <c r="A1184" s="2"/>
      <c r="B1184" s="3"/>
      <c r="C1184" s="3"/>
      <c r="D1184" s="3"/>
      <c r="E1184" s="3"/>
    </row>
    <row r="1185" spans="1:5" x14ac:dyDescent="0.25">
      <c r="A1185" s="2"/>
      <c r="B1185" s="3"/>
      <c r="C1185" s="3"/>
      <c r="D1185" s="3"/>
      <c r="E1185" s="3"/>
    </row>
    <row r="1186" spans="1:5" x14ac:dyDescent="0.25">
      <c r="A1186" s="2"/>
      <c r="B1186" s="3"/>
      <c r="C1186" s="3"/>
      <c r="D1186" s="3"/>
      <c r="E1186" s="3"/>
    </row>
    <row r="1187" spans="1:5" x14ac:dyDescent="0.25">
      <c r="A1187" s="2"/>
      <c r="B1187" s="3"/>
      <c r="C1187" s="3"/>
      <c r="D1187" s="3"/>
      <c r="E1187" s="3"/>
    </row>
    <row r="1188" spans="1:5" x14ac:dyDescent="0.25">
      <c r="A1188" s="2"/>
      <c r="B1188" s="3"/>
      <c r="C1188" s="3"/>
      <c r="D1188" s="3"/>
      <c r="E1188" s="3"/>
    </row>
    <row r="1189" spans="1:5" x14ac:dyDescent="0.25">
      <c r="A1189" s="2"/>
      <c r="B1189" s="3"/>
      <c r="C1189" s="3"/>
      <c r="D1189" s="3"/>
      <c r="E1189" s="3"/>
    </row>
    <row r="1190" spans="1:5" x14ac:dyDescent="0.25">
      <c r="A1190" s="2"/>
      <c r="B1190" s="3"/>
      <c r="C1190" s="3"/>
      <c r="D1190" s="3"/>
      <c r="E1190" s="3"/>
    </row>
    <row r="1191" spans="1:5" x14ac:dyDescent="0.25">
      <c r="A1191" s="2"/>
      <c r="B1191" s="3"/>
      <c r="C1191" s="3"/>
      <c r="D1191" s="3"/>
      <c r="E1191" s="3"/>
    </row>
    <row r="1192" spans="1:5" x14ac:dyDescent="0.25">
      <c r="A1192" s="2"/>
      <c r="B1192" s="3"/>
      <c r="C1192" s="3"/>
      <c r="D1192" s="3"/>
      <c r="E1192" s="3"/>
    </row>
    <row r="1193" spans="1:5" x14ac:dyDescent="0.25">
      <c r="A1193" s="2"/>
      <c r="B1193" s="3"/>
      <c r="C1193" s="3"/>
      <c r="D1193" s="3"/>
      <c r="E1193" s="3"/>
    </row>
    <row r="1194" spans="1:5" x14ac:dyDescent="0.25">
      <c r="A1194" s="2"/>
      <c r="B1194" s="3"/>
      <c r="C1194" s="3"/>
      <c r="D1194" s="3"/>
      <c r="E1194" s="3"/>
    </row>
    <row r="1195" spans="1:5" x14ac:dyDescent="0.25">
      <c r="A1195" s="2"/>
      <c r="B1195" s="3"/>
      <c r="C1195" s="3"/>
      <c r="D1195" s="3"/>
      <c r="E1195" s="3"/>
    </row>
    <row r="1196" spans="1:5" x14ac:dyDescent="0.25">
      <c r="A1196" s="2"/>
      <c r="B1196" s="3"/>
      <c r="C1196" s="3"/>
      <c r="D1196" s="3"/>
      <c r="E1196" s="3"/>
    </row>
    <row r="1197" spans="1:5" x14ac:dyDescent="0.25">
      <c r="A1197" s="2"/>
      <c r="B1197" s="3"/>
      <c r="C1197" s="3"/>
      <c r="D1197" s="3"/>
      <c r="E1197" s="3"/>
    </row>
    <row r="1198" spans="1:5" x14ac:dyDescent="0.25">
      <c r="A1198" s="2"/>
      <c r="B1198" s="3"/>
      <c r="C1198" s="3"/>
      <c r="D1198" s="3"/>
      <c r="E1198" s="3"/>
    </row>
    <row r="1199" spans="1:5" x14ac:dyDescent="0.25">
      <c r="A1199" s="2"/>
      <c r="B1199" s="3"/>
      <c r="C1199" s="3"/>
      <c r="D1199" s="3"/>
      <c r="E1199" s="3"/>
    </row>
    <row r="1200" spans="1:5" x14ac:dyDescent="0.25">
      <c r="A1200" s="2"/>
      <c r="B1200" s="3"/>
      <c r="C1200" s="3"/>
      <c r="D1200" s="3"/>
      <c r="E1200" s="3"/>
    </row>
    <row r="1201" spans="1:5" x14ac:dyDescent="0.25">
      <c r="A1201" s="2"/>
      <c r="B1201" s="3"/>
      <c r="C1201" s="3"/>
      <c r="D1201" s="3"/>
      <c r="E1201" s="3"/>
    </row>
    <row r="1202" spans="1:5" x14ac:dyDescent="0.25">
      <c r="A1202" s="2"/>
      <c r="B1202" s="3"/>
      <c r="C1202" s="3"/>
      <c r="D1202" s="3"/>
      <c r="E1202" s="3"/>
    </row>
    <row r="1203" spans="1:5" x14ac:dyDescent="0.25">
      <c r="A1203" s="2"/>
      <c r="B1203" s="3"/>
      <c r="C1203" s="3"/>
      <c r="D1203" s="3"/>
      <c r="E1203" s="3"/>
    </row>
    <row r="1204" spans="1:5" x14ac:dyDescent="0.25">
      <c r="A1204" s="2"/>
      <c r="B1204" s="3"/>
      <c r="C1204" s="3"/>
      <c r="D1204" s="3"/>
      <c r="E1204" s="3"/>
    </row>
    <row r="1205" spans="1:5" x14ac:dyDescent="0.25">
      <c r="A1205" s="2"/>
      <c r="B1205" s="3"/>
      <c r="C1205" s="3"/>
      <c r="D1205" s="3"/>
      <c r="E1205" s="3"/>
    </row>
    <row r="1206" spans="1:5" x14ac:dyDescent="0.25">
      <c r="A1206" s="2"/>
      <c r="B1206" s="3"/>
      <c r="C1206" s="3"/>
      <c r="D1206" s="3"/>
      <c r="E1206" s="3"/>
    </row>
    <row r="1207" spans="1:5" x14ac:dyDescent="0.25">
      <c r="A1207" s="2"/>
      <c r="B1207" s="3"/>
      <c r="C1207" s="3"/>
      <c r="D1207" s="3"/>
      <c r="E1207" s="3"/>
    </row>
    <row r="1208" spans="1:5" x14ac:dyDescent="0.25">
      <c r="A1208" s="2"/>
      <c r="B1208" s="3"/>
      <c r="C1208" s="3"/>
      <c r="D1208" s="3"/>
      <c r="E1208" s="3"/>
    </row>
    <row r="1209" spans="1:5" x14ac:dyDescent="0.25">
      <c r="A1209" s="2"/>
      <c r="B1209" s="3"/>
      <c r="C1209" s="3"/>
      <c r="D1209" s="3"/>
      <c r="E1209" s="3"/>
    </row>
    <row r="1210" spans="1:5" x14ac:dyDescent="0.25">
      <c r="A1210" s="2"/>
    </row>
    <row r="1232" spans="1:1" x14ac:dyDescent="0.25">
      <c r="A1232" s="2"/>
    </row>
    <row r="1233" spans="1:3" x14ac:dyDescent="0.25">
      <c r="A1233" s="2"/>
    </row>
    <row r="1234" spans="1:3" x14ac:dyDescent="0.25">
      <c r="A1234" s="2"/>
    </row>
    <row r="1235" spans="1:3" x14ac:dyDescent="0.25">
      <c r="A1235" s="2"/>
      <c r="B1235" s="3"/>
      <c r="C1235" s="3"/>
    </row>
    <row r="1236" spans="1:3" x14ac:dyDescent="0.25">
      <c r="A1236" s="3"/>
      <c r="B1236" s="3"/>
      <c r="C1236" s="3"/>
    </row>
    <row r="1237" spans="1:3" x14ac:dyDescent="0.25">
      <c r="A1237" s="3"/>
      <c r="B1237" s="3"/>
      <c r="C1237" s="3"/>
    </row>
    <row r="1238" spans="1:3" x14ac:dyDescent="0.25">
      <c r="A1238" s="3"/>
      <c r="B1238" s="3"/>
      <c r="C1238" s="3"/>
    </row>
    <row r="1239" spans="1:3" x14ac:dyDescent="0.25">
      <c r="A1239" s="3"/>
      <c r="B1239" s="3"/>
      <c r="C1239" s="3"/>
    </row>
    <row r="1240" spans="1:3" x14ac:dyDescent="0.25">
      <c r="A1240" s="3"/>
      <c r="B1240" s="3"/>
      <c r="C1240" s="3"/>
    </row>
    <row r="1241" spans="1:3" x14ac:dyDescent="0.25">
      <c r="A1241" s="3"/>
      <c r="B1241" s="3"/>
      <c r="C1241" s="3"/>
    </row>
    <row r="1242" spans="1:3" x14ac:dyDescent="0.25">
      <c r="A1242" s="3"/>
      <c r="B1242" s="3"/>
      <c r="C1242" s="3"/>
    </row>
    <row r="1243" spans="1:3" x14ac:dyDescent="0.25">
      <c r="A1243" s="3"/>
      <c r="B1243" s="3"/>
      <c r="C1243" s="3"/>
    </row>
    <row r="1244" spans="1:3" x14ac:dyDescent="0.25">
      <c r="A1244" s="3"/>
      <c r="B1244" s="3"/>
      <c r="C1244" s="3"/>
    </row>
    <row r="1245" spans="1:3" x14ac:dyDescent="0.25">
      <c r="A1245" s="3"/>
      <c r="B1245" s="3"/>
      <c r="C1245" s="3"/>
    </row>
    <row r="1246" spans="1:3" x14ac:dyDescent="0.25">
      <c r="A1246" s="3"/>
      <c r="B1246" s="3"/>
      <c r="C1246" s="3"/>
    </row>
    <row r="1247" spans="1:3" x14ac:dyDescent="0.25">
      <c r="A1247" s="3"/>
      <c r="B1247" s="3"/>
      <c r="C1247" s="3"/>
    </row>
    <row r="1248" spans="1:3" x14ac:dyDescent="0.25">
      <c r="A1248" s="3"/>
      <c r="B1248" s="3"/>
      <c r="C1248" s="3"/>
    </row>
    <row r="1249" spans="1:3" x14ac:dyDescent="0.25">
      <c r="A1249" s="3"/>
      <c r="B1249" s="3"/>
      <c r="C1249" s="3"/>
    </row>
    <row r="1250" spans="1:3" x14ac:dyDescent="0.25">
      <c r="A1250" s="3"/>
      <c r="B1250" s="3"/>
      <c r="C1250" s="3"/>
    </row>
    <row r="1251" spans="1:3" x14ac:dyDescent="0.25">
      <c r="A1251" s="3"/>
      <c r="B1251" s="3"/>
      <c r="C1251" s="3"/>
    </row>
    <row r="1252" spans="1:3" x14ac:dyDescent="0.25">
      <c r="A1252" s="3"/>
      <c r="B1252" s="3"/>
      <c r="C1252" s="3"/>
    </row>
    <row r="1253" spans="1:3" x14ac:dyDescent="0.25">
      <c r="A1253" s="3"/>
      <c r="B1253" s="3"/>
      <c r="C1253" s="3"/>
    </row>
    <row r="1254" spans="1:3" x14ac:dyDescent="0.25">
      <c r="A1254" s="3"/>
      <c r="B1254" s="3"/>
      <c r="C1254" s="3"/>
    </row>
    <row r="1255" spans="1:3" x14ac:dyDescent="0.25">
      <c r="A1255" s="3"/>
      <c r="B1255" s="3"/>
      <c r="C1255" s="3"/>
    </row>
    <row r="1256" spans="1:3" x14ac:dyDescent="0.25">
      <c r="A1256" s="3"/>
      <c r="B1256" s="3"/>
      <c r="C1256" s="3"/>
    </row>
    <row r="1257" spans="1:3" x14ac:dyDescent="0.25">
      <c r="A1257" s="3"/>
      <c r="B1257" s="3"/>
      <c r="C1257" s="3"/>
    </row>
    <row r="1258" spans="1:3" x14ac:dyDescent="0.25">
      <c r="A1258" s="3"/>
      <c r="B1258" s="3"/>
      <c r="C1258" s="3"/>
    </row>
    <row r="1259" spans="1:3" x14ac:dyDescent="0.25">
      <c r="A1259" s="3"/>
      <c r="B1259" s="3"/>
      <c r="C1259" s="3"/>
    </row>
    <row r="1260" spans="1:3" x14ac:dyDescent="0.25">
      <c r="A1260" s="3"/>
      <c r="B1260" s="3"/>
      <c r="C1260" s="3"/>
    </row>
    <row r="1261" spans="1:3" x14ac:dyDescent="0.25">
      <c r="A1261" s="3"/>
      <c r="B1261" s="3"/>
      <c r="C1261" s="3"/>
    </row>
    <row r="1262" spans="1:3" x14ac:dyDescent="0.25">
      <c r="A1262" s="3"/>
      <c r="B1262" s="3"/>
      <c r="C1262" s="3"/>
    </row>
    <row r="1263" spans="1:3" x14ac:dyDescent="0.25">
      <c r="A1263" s="3"/>
      <c r="B1263" s="3"/>
      <c r="C1263" s="3"/>
    </row>
    <row r="1264" spans="1:3" x14ac:dyDescent="0.25">
      <c r="A1264" s="3"/>
      <c r="B1264" s="3"/>
      <c r="C1264" s="3"/>
    </row>
    <row r="1265" spans="1:3" x14ac:dyDescent="0.25">
      <c r="A1265" s="3"/>
      <c r="B1265" s="3"/>
      <c r="C1265" s="3"/>
    </row>
    <row r="1266" spans="1:3" x14ac:dyDescent="0.25">
      <c r="A1266" s="3"/>
      <c r="B1266" s="3"/>
      <c r="C1266" s="3"/>
    </row>
    <row r="1267" spans="1:3" x14ac:dyDescent="0.25">
      <c r="A1267" s="3"/>
      <c r="B1267" s="3"/>
      <c r="C1267" s="3"/>
    </row>
    <row r="1268" spans="1:3" x14ac:dyDescent="0.25">
      <c r="A1268" s="3"/>
      <c r="B1268" s="3"/>
      <c r="C1268" s="3"/>
    </row>
    <row r="1269" spans="1:3" x14ac:dyDescent="0.25">
      <c r="A1269" s="3"/>
      <c r="B1269" s="3"/>
      <c r="C1269" s="3"/>
    </row>
    <row r="1270" spans="1:3" x14ac:dyDescent="0.25">
      <c r="A1270" s="3"/>
      <c r="B1270" s="3"/>
      <c r="C1270" s="3"/>
    </row>
    <row r="1271" spans="1:3" x14ac:dyDescent="0.25">
      <c r="A1271" s="3"/>
      <c r="B1271" s="3"/>
      <c r="C1271" s="3"/>
    </row>
    <row r="1272" spans="1:3" x14ac:dyDescent="0.25">
      <c r="A1272" s="3"/>
      <c r="B1272" s="3"/>
      <c r="C1272" s="3"/>
    </row>
    <row r="1273" spans="1:3" x14ac:dyDescent="0.25">
      <c r="A1273" s="3"/>
    </row>
    <row r="1274" spans="1:3" x14ac:dyDescent="0.25">
      <c r="A1274" s="2"/>
    </row>
    <row r="1275" spans="1:3" x14ac:dyDescent="0.25">
      <c r="A1275" s="2"/>
    </row>
    <row r="1276" spans="1:3" x14ac:dyDescent="0.25">
      <c r="A1276" s="2"/>
    </row>
    <row r="1277" spans="1:3" x14ac:dyDescent="0.25">
      <c r="A1277" s="2"/>
    </row>
    <row r="1278" spans="1:3" x14ac:dyDescent="0.25">
      <c r="A1278" s="2"/>
    </row>
    <row r="1285" spans="1:3" x14ac:dyDescent="0.25">
      <c r="B1285" s="3"/>
      <c r="C1285" s="3"/>
    </row>
    <row r="1286" spans="1:3" x14ac:dyDescent="0.25">
      <c r="A1286" s="3"/>
      <c r="B1286" s="3"/>
      <c r="C1286" s="3"/>
    </row>
    <row r="1287" spans="1:3" x14ac:dyDescent="0.25">
      <c r="A1287" s="3"/>
      <c r="B1287" s="3"/>
      <c r="C1287" s="3"/>
    </row>
    <row r="1288" spans="1:3" x14ac:dyDescent="0.25">
      <c r="A1288" s="3"/>
      <c r="B1288" s="3"/>
      <c r="C1288" s="3"/>
    </row>
    <row r="1289" spans="1:3" x14ac:dyDescent="0.25">
      <c r="A1289" s="3"/>
      <c r="B1289" s="3"/>
      <c r="C1289" s="3"/>
    </row>
    <row r="1290" spans="1:3" x14ac:dyDescent="0.25">
      <c r="A1290" s="3"/>
      <c r="B1290" s="3"/>
      <c r="C1290" s="3"/>
    </row>
    <row r="1291" spans="1:3" x14ac:dyDescent="0.25">
      <c r="A1291" s="3"/>
      <c r="B1291" s="3"/>
      <c r="C1291" s="3"/>
    </row>
    <row r="1292" spans="1:3" x14ac:dyDescent="0.25">
      <c r="A1292" s="3"/>
      <c r="B1292" s="3"/>
      <c r="C1292" s="3"/>
    </row>
    <row r="1293" spans="1:3" x14ac:dyDescent="0.25">
      <c r="A1293" s="3"/>
      <c r="B1293" s="3"/>
      <c r="C1293" s="3"/>
    </row>
    <row r="1294" spans="1:3" x14ac:dyDescent="0.25">
      <c r="A1294" s="3"/>
      <c r="B1294" s="3"/>
      <c r="C1294" s="3"/>
    </row>
    <row r="1295" spans="1:3" x14ac:dyDescent="0.25">
      <c r="A1295" s="3"/>
      <c r="B1295" s="3"/>
      <c r="C1295" s="3"/>
    </row>
    <row r="1296" spans="1:3" x14ac:dyDescent="0.25">
      <c r="A1296" s="3"/>
      <c r="B1296" s="3"/>
      <c r="C1296" s="3"/>
    </row>
    <row r="1297" spans="1:3" x14ac:dyDescent="0.25">
      <c r="A1297" s="3"/>
      <c r="B1297" s="3"/>
      <c r="C1297" s="3"/>
    </row>
    <row r="1298" spans="1:3" x14ac:dyDescent="0.25">
      <c r="A1298" s="3"/>
      <c r="B1298" s="3"/>
      <c r="C1298" s="3"/>
    </row>
    <row r="1299" spans="1:3" x14ac:dyDescent="0.25">
      <c r="A1299" s="3"/>
      <c r="B1299" s="3"/>
      <c r="C1299" s="3"/>
    </row>
    <row r="1300" spans="1:3" x14ac:dyDescent="0.25">
      <c r="A1300" s="3"/>
      <c r="B1300" s="3"/>
      <c r="C1300" s="3"/>
    </row>
    <row r="1301" spans="1:3" x14ac:dyDescent="0.25">
      <c r="A1301" s="3"/>
      <c r="B1301" s="3"/>
      <c r="C1301" s="3"/>
    </row>
    <row r="1302" spans="1:3" x14ac:dyDescent="0.25">
      <c r="A1302" s="3"/>
      <c r="B1302" s="3"/>
      <c r="C1302" s="3"/>
    </row>
    <row r="1303" spans="1:3" x14ac:dyDescent="0.25">
      <c r="A1303" s="3"/>
      <c r="B1303" s="3"/>
      <c r="C1303" s="3"/>
    </row>
    <row r="1304" spans="1:3" x14ac:dyDescent="0.25">
      <c r="A1304" s="3"/>
      <c r="B1304" s="3"/>
      <c r="C1304" s="3"/>
    </row>
    <row r="1305" spans="1:3" x14ac:dyDescent="0.25">
      <c r="A1305" s="3"/>
      <c r="B1305" s="3"/>
      <c r="C1305" s="3"/>
    </row>
    <row r="1306" spans="1:3" x14ac:dyDescent="0.25">
      <c r="A1306" s="3"/>
      <c r="B1306" s="3"/>
      <c r="C1306" s="3"/>
    </row>
    <row r="1307" spans="1:3" x14ac:dyDescent="0.25">
      <c r="A1307" s="3"/>
      <c r="B1307" s="3"/>
      <c r="C1307" s="3"/>
    </row>
    <row r="1308" spans="1:3" x14ac:dyDescent="0.25">
      <c r="A1308" s="3"/>
      <c r="B1308" s="3"/>
      <c r="C1308" s="3"/>
    </row>
    <row r="1309" spans="1:3" x14ac:dyDescent="0.25">
      <c r="A1309" s="3"/>
      <c r="B1309" s="3"/>
      <c r="C1309" s="3"/>
    </row>
    <row r="1310" spans="1:3" x14ac:dyDescent="0.25">
      <c r="A1310" s="3"/>
      <c r="B1310" s="3"/>
      <c r="C1310" s="3"/>
    </row>
    <row r="1311" spans="1:3" x14ac:dyDescent="0.25">
      <c r="A1311" s="3"/>
      <c r="B1311" s="3"/>
      <c r="C1311" s="3"/>
    </row>
    <row r="1312" spans="1:3" x14ac:dyDescent="0.25">
      <c r="A1312" s="3"/>
      <c r="B1312" s="3"/>
      <c r="C1312" s="3"/>
    </row>
    <row r="1313" spans="1:3" x14ac:dyDescent="0.25">
      <c r="A1313" s="3"/>
      <c r="B1313" s="3"/>
      <c r="C1313" s="3"/>
    </row>
    <row r="1314" spans="1:3" x14ac:dyDescent="0.25">
      <c r="A1314" s="3"/>
      <c r="B1314" s="3"/>
      <c r="C1314" s="3"/>
    </row>
    <row r="1315" spans="1:3" x14ac:dyDescent="0.25">
      <c r="A1315" s="3"/>
      <c r="B1315" s="3"/>
      <c r="C1315" s="3"/>
    </row>
    <row r="1316" spans="1:3" x14ac:dyDescent="0.25">
      <c r="A1316" s="3"/>
      <c r="B1316" s="3"/>
      <c r="C1316" s="3"/>
    </row>
    <row r="1317" spans="1:3" x14ac:dyDescent="0.25">
      <c r="A1317" s="3"/>
      <c r="B1317" s="3"/>
      <c r="C1317" s="3"/>
    </row>
    <row r="1318" spans="1:3" x14ac:dyDescent="0.25">
      <c r="A1318" s="3"/>
      <c r="B1318" s="3"/>
      <c r="C1318" s="3"/>
    </row>
    <row r="1319" spans="1:3" x14ac:dyDescent="0.25">
      <c r="A1319" s="3"/>
      <c r="B1319" s="3"/>
      <c r="C1319" s="3"/>
    </row>
    <row r="1320" spans="1:3" x14ac:dyDescent="0.25">
      <c r="A1320" s="3"/>
      <c r="B1320" s="3"/>
      <c r="C1320" s="3"/>
    </row>
    <row r="1321" spans="1:3" x14ac:dyDescent="0.25">
      <c r="A1321" s="3"/>
      <c r="B1321" s="3"/>
      <c r="C1321" s="3"/>
    </row>
    <row r="1322" spans="1:3" x14ac:dyDescent="0.25">
      <c r="A1322" s="3"/>
      <c r="B1322" s="3"/>
      <c r="C1322" s="3"/>
    </row>
    <row r="1323" spans="1:3" x14ac:dyDescent="0.25">
      <c r="A1323" s="3"/>
      <c r="B1323" s="3"/>
      <c r="C1323" s="3"/>
    </row>
    <row r="1324" spans="1:3" x14ac:dyDescent="0.25">
      <c r="A1324" s="3"/>
      <c r="B1324" s="3"/>
      <c r="C1324" s="3"/>
    </row>
    <row r="1325" spans="1:3" x14ac:dyDescent="0.25">
      <c r="A1325" s="3"/>
      <c r="B1325" s="3"/>
      <c r="C1325" s="3"/>
    </row>
    <row r="1326" spans="1:3" x14ac:dyDescent="0.25">
      <c r="A1326" s="3"/>
      <c r="B1326" s="3"/>
      <c r="C1326" s="3"/>
    </row>
    <row r="1327" spans="1:3" x14ac:dyDescent="0.25">
      <c r="A1327" s="3"/>
      <c r="B1327" s="3"/>
      <c r="C1327" s="3"/>
    </row>
    <row r="1328" spans="1:3" x14ac:dyDescent="0.25">
      <c r="A1328" s="3"/>
      <c r="B1328" s="3"/>
      <c r="C1328" s="3"/>
    </row>
    <row r="1329" spans="1:3" x14ac:dyDescent="0.25">
      <c r="A1329" s="3"/>
      <c r="B1329" s="3"/>
      <c r="C1329" s="3"/>
    </row>
    <row r="1330" spans="1:3" x14ac:dyDescent="0.25">
      <c r="A1330" s="3"/>
      <c r="B1330" s="3"/>
      <c r="C1330" s="3"/>
    </row>
    <row r="1331" spans="1:3" x14ac:dyDescent="0.25">
      <c r="A1331" s="3"/>
      <c r="B1331" s="3"/>
      <c r="C1331" s="3"/>
    </row>
    <row r="1332" spans="1:3" x14ac:dyDescent="0.25">
      <c r="A1332" s="3"/>
      <c r="B1332" s="3"/>
      <c r="C1332" s="3"/>
    </row>
    <row r="1333" spans="1:3" x14ac:dyDescent="0.25">
      <c r="A1333" s="3"/>
      <c r="B1333" s="3"/>
      <c r="C1333" s="3"/>
    </row>
    <row r="1334" spans="1:3" x14ac:dyDescent="0.25">
      <c r="A1334" s="3"/>
      <c r="B1334" s="3"/>
      <c r="C1334" s="3"/>
    </row>
    <row r="1335" spans="1:3" x14ac:dyDescent="0.25">
      <c r="A1335" s="3"/>
      <c r="B1335" s="3"/>
      <c r="C1335" s="3"/>
    </row>
    <row r="1336" spans="1:3" x14ac:dyDescent="0.25">
      <c r="A1336" s="3"/>
      <c r="B1336" s="3"/>
      <c r="C1336" s="3"/>
    </row>
    <row r="1337" spans="1:3" x14ac:dyDescent="0.25">
      <c r="A1337" s="3"/>
      <c r="B1337" s="3"/>
      <c r="C1337" s="3"/>
    </row>
    <row r="1338" spans="1:3" x14ac:dyDescent="0.25">
      <c r="A1338" s="3"/>
      <c r="B1338" s="3"/>
      <c r="C1338" s="3"/>
    </row>
    <row r="1339" spans="1:3" x14ac:dyDescent="0.25">
      <c r="A1339" s="3"/>
      <c r="B1339" s="3"/>
      <c r="C1339" s="3"/>
    </row>
    <row r="1340" spans="1:3" x14ac:dyDescent="0.25">
      <c r="A1340" s="3"/>
      <c r="B1340" s="3"/>
      <c r="C1340" s="3"/>
    </row>
    <row r="1341" spans="1:3" x14ac:dyDescent="0.25">
      <c r="A1341" s="3"/>
      <c r="B1341" s="3"/>
      <c r="C1341" s="3"/>
    </row>
    <row r="1342" spans="1:3" x14ac:dyDescent="0.25">
      <c r="A1342" s="3"/>
      <c r="B1342" s="3"/>
      <c r="C1342" s="3"/>
    </row>
    <row r="1343" spans="1:3" x14ac:dyDescent="0.25">
      <c r="A1343" s="3"/>
      <c r="B1343" s="3"/>
      <c r="C1343" s="3"/>
    </row>
    <row r="1344" spans="1:3" x14ac:dyDescent="0.25">
      <c r="A1344" s="3"/>
      <c r="B1344" s="3"/>
      <c r="C1344" s="3"/>
    </row>
    <row r="1345" spans="1:3" x14ac:dyDescent="0.25">
      <c r="A1345" s="3"/>
      <c r="B1345" s="3"/>
      <c r="C1345" s="3"/>
    </row>
    <row r="1346" spans="1:3" x14ac:dyDescent="0.25">
      <c r="A1346" s="3"/>
      <c r="B1346" s="3"/>
      <c r="C1346" s="3"/>
    </row>
    <row r="1347" spans="1:3" x14ac:dyDescent="0.25">
      <c r="A1347" s="3"/>
      <c r="B1347" s="3"/>
      <c r="C1347" s="3"/>
    </row>
    <row r="1348" spans="1:3" x14ac:dyDescent="0.25">
      <c r="A1348" s="3"/>
      <c r="B1348" s="3"/>
      <c r="C1348" s="3"/>
    </row>
    <row r="1349" spans="1:3" x14ac:dyDescent="0.25">
      <c r="A1349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A13C-FBC0-42A4-AAAF-B093A206D5B4}">
  <sheetPr codeName="Sheet2"/>
  <dimension ref="A1:D12"/>
  <sheetViews>
    <sheetView workbookViewId="0">
      <selection sqref="A1:D12"/>
    </sheetView>
  </sheetViews>
  <sheetFormatPr defaultRowHeight="15" x14ac:dyDescent="0.25"/>
  <sheetData>
    <row r="1" spans="1:4" x14ac:dyDescent="0.25">
      <c r="A1">
        <v>1</v>
      </c>
      <c r="B1">
        <v>31</v>
      </c>
      <c r="C1">
        <v>31</v>
      </c>
      <c r="D1">
        <v>31</v>
      </c>
    </row>
    <row r="2" spans="1:4" x14ac:dyDescent="0.25">
      <c r="A2">
        <v>2</v>
      </c>
      <c r="B2">
        <f>IF(OR(MOD(YEAR([1]Data!A564),400)=0,AND(MOD(YEAR([1]Data!A564),4)=0,MOD(YEAR([1]Data!A564),100)&lt;&gt;0)),29, 28)</f>
        <v>28</v>
      </c>
      <c r="C2">
        <f>IF(OR(MOD(YEAR([1]Data!A564)-1,400)=0,AND(MOD(YEAR([1]Data!A564)-1,4)=0,MOD(YEAR([1]Data!A564)-1,100)&lt;&gt;0)),29, 28)</f>
        <v>28</v>
      </c>
      <c r="D2">
        <f>IF(OR(MOD(YEAR([1]Data!A564)-2,400)=0,AND(MOD(YEAR([1]Data!A564)-2,4)=0,MOD(YEAR([1]Data!A564)-2,100)&lt;&gt;0)),29, 28)</f>
        <v>28</v>
      </c>
    </row>
    <row r="3" spans="1:4" x14ac:dyDescent="0.25">
      <c r="A3">
        <v>3</v>
      </c>
      <c r="B3">
        <v>31</v>
      </c>
      <c r="C3">
        <v>31</v>
      </c>
      <c r="D3">
        <v>31</v>
      </c>
    </row>
    <row r="4" spans="1:4" x14ac:dyDescent="0.25">
      <c r="A4">
        <v>4</v>
      </c>
      <c r="B4">
        <v>30</v>
      </c>
      <c r="C4">
        <v>30</v>
      </c>
      <c r="D4">
        <v>30</v>
      </c>
    </row>
    <row r="5" spans="1:4" x14ac:dyDescent="0.25">
      <c r="A5">
        <v>5</v>
      </c>
      <c r="B5">
        <v>31</v>
      </c>
      <c r="C5">
        <v>31</v>
      </c>
      <c r="D5">
        <v>31</v>
      </c>
    </row>
    <row r="6" spans="1:4" x14ac:dyDescent="0.25">
      <c r="A6">
        <v>6</v>
      </c>
      <c r="B6">
        <v>30</v>
      </c>
      <c r="C6">
        <v>30</v>
      </c>
      <c r="D6">
        <v>30</v>
      </c>
    </row>
    <row r="7" spans="1:4" x14ac:dyDescent="0.25">
      <c r="A7">
        <v>7</v>
      </c>
      <c r="B7">
        <v>31</v>
      </c>
      <c r="C7">
        <v>31</v>
      </c>
      <c r="D7">
        <v>31</v>
      </c>
    </row>
    <row r="8" spans="1:4" x14ac:dyDescent="0.25">
      <c r="A8">
        <v>8</v>
      </c>
      <c r="B8">
        <v>31</v>
      </c>
      <c r="C8">
        <v>31</v>
      </c>
      <c r="D8">
        <v>31</v>
      </c>
    </row>
    <row r="9" spans="1:4" x14ac:dyDescent="0.25">
      <c r="A9">
        <v>9</v>
      </c>
      <c r="B9">
        <v>30</v>
      </c>
      <c r="C9">
        <v>30</v>
      </c>
      <c r="D9">
        <v>30</v>
      </c>
    </row>
    <row r="10" spans="1:4" x14ac:dyDescent="0.25">
      <c r="A10">
        <v>10</v>
      </c>
      <c r="B10">
        <v>31</v>
      </c>
      <c r="C10">
        <v>31</v>
      </c>
      <c r="D10">
        <v>31</v>
      </c>
    </row>
    <row r="11" spans="1:4" x14ac:dyDescent="0.25">
      <c r="A11">
        <v>11</v>
      </c>
      <c r="B11">
        <v>30</v>
      </c>
      <c r="C11">
        <v>30</v>
      </c>
      <c r="D11">
        <v>30</v>
      </c>
    </row>
    <row r="12" spans="1:4" x14ac:dyDescent="0.25">
      <c r="A12">
        <v>12</v>
      </c>
      <c r="B12">
        <v>31</v>
      </c>
      <c r="C12">
        <v>31</v>
      </c>
      <c r="D12">
        <v>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E9C98-FAE4-462C-B0FB-5BD7A9F0B1AD}">
  <sheetPr codeName="Sheet3"/>
  <dimension ref="A1:B96"/>
  <sheetViews>
    <sheetView topLeftCell="A37" workbookViewId="0">
      <selection activeCell="A62" sqref="A62"/>
    </sheetView>
  </sheetViews>
  <sheetFormatPr defaultRowHeight="15" x14ac:dyDescent="0.25"/>
  <cols>
    <col min="1" max="1" width="78" bestFit="1" customWidth="1"/>
  </cols>
  <sheetData>
    <row r="1" spans="1:2" x14ac:dyDescent="0.25">
      <c r="A1" s="10" t="s">
        <v>38</v>
      </c>
      <c r="B1" s="11" t="s">
        <v>147</v>
      </c>
    </row>
    <row r="2" spans="1:2" x14ac:dyDescent="0.25">
      <c r="A2" s="10" t="s">
        <v>43</v>
      </c>
      <c r="B2" s="12" t="s">
        <v>199</v>
      </c>
    </row>
    <row r="3" spans="1:2" x14ac:dyDescent="0.25">
      <c r="A3" s="10" t="s">
        <v>44</v>
      </c>
      <c r="B3" s="11" t="s">
        <v>200</v>
      </c>
    </row>
    <row r="4" spans="1:2" x14ac:dyDescent="0.25">
      <c r="A4" s="10" t="s">
        <v>45</v>
      </c>
      <c r="B4" s="12" t="s">
        <v>201</v>
      </c>
    </row>
    <row r="5" spans="1:2" x14ac:dyDescent="0.25">
      <c r="A5" s="10" t="s">
        <v>46</v>
      </c>
      <c r="B5" s="11" t="s">
        <v>202</v>
      </c>
    </row>
    <row r="6" spans="1:2" x14ac:dyDescent="0.25">
      <c r="A6" s="10" t="s">
        <v>148</v>
      </c>
      <c r="B6" s="12" t="s">
        <v>203</v>
      </c>
    </row>
    <row r="7" spans="1:2" x14ac:dyDescent="0.25">
      <c r="A7" s="10" t="s">
        <v>149</v>
      </c>
      <c r="B7" s="11" t="s">
        <v>204</v>
      </c>
    </row>
    <row r="8" spans="1:2" x14ac:dyDescent="0.25">
      <c r="A8" s="10" t="s">
        <v>150</v>
      </c>
      <c r="B8" s="12" t="s">
        <v>205</v>
      </c>
    </row>
    <row r="9" spans="1:2" x14ac:dyDescent="0.25">
      <c r="A9" s="10" t="s">
        <v>151</v>
      </c>
      <c r="B9" s="11" t="s">
        <v>206</v>
      </c>
    </row>
    <row r="10" spans="1:2" x14ac:dyDescent="0.25">
      <c r="A10" s="10" t="s">
        <v>152</v>
      </c>
      <c r="B10" s="12" t="s">
        <v>207</v>
      </c>
    </row>
    <row r="11" spans="1:2" x14ac:dyDescent="0.25">
      <c r="A11" s="5" t="s">
        <v>359</v>
      </c>
      <c r="B11" s="22" t="s">
        <v>375</v>
      </c>
    </row>
    <row r="12" spans="1:2" x14ac:dyDescent="0.25">
      <c r="A12" s="13" t="s">
        <v>49</v>
      </c>
      <c r="B12" s="11" t="s">
        <v>208</v>
      </c>
    </row>
    <row r="13" spans="1:2" x14ac:dyDescent="0.25">
      <c r="A13" s="13" t="s">
        <v>50</v>
      </c>
      <c r="B13" s="12" t="s">
        <v>209</v>
      </c>
    </row>
    <row r="14" spans="1:2" x14ac:dyDescent="0.25">
      <c r="A14" s="13" t="s">
        <v>51</v>
      </c>
      <c r="B14" s="11" t="s">
        <v>210</v>
      </c>
    </row>
    <row r="15" spans="1:2" x14ac:dyDescent="0.25">
      <c r="A15" s="13" t="s">
        <v>52</v>
      </c>
      <c r="B15" s="12" t="s">
        <v>211</v>
      </c>
    </row>
    <row r="16" spans="1:2" x14ac:dyDescent="0.25">
      <c r="A16" s="13" t="s">
        <v>118</v>
      </c>
      <c r="B16" s="11" t="s">
        <v>212</v>
      </c>
    </row>
    <row r="17" spans="1:2" x14ac:dyDescent="0.25">
      <c r="A17" s="13" t="s">
        <v>153</v>
      </c>
      <c r="B17" s="12" t="s">
        <v>213</v>
      </c>
    </row>
    <row r="18" spans="1:2" x14ac:dyDescent="0.25">
      <c r="A18" s="13" t="s">
        <v>154</v>
      </c>
      <c r="B18" s="11" t="s">
        <v>214</v>
      </c>
    </row>
    <row r="19" spans="1:2" x14ac:dyDescent="0.25">
      <c r="A19" s="14" t="s">
        <v>63</v>
      </c>
      <c r="B19" s="12" t="s">
        <v>215</v>
      </c>
    </row>
    <row r="20" spans="1:2" x14ac:dyDescent="0.25">
      <c r="A20" s="14" t="s">
        <v>64</v>
      </c>
      <c r="B20" s="11" t="s">
        <v>216</v>
      </c>
    </row>
    <row r="21" spans="1:2" x14ac:dyDescent="0.25">
      <c r="A21" s="14" t="s">
        <v>65</v>
      </c>
      <c r="B21" s="12" t="s">
        <v>217</v>
      </c>
    </row>
    <row r="22" spans="1:2" x14ac:dyDescent="0.25">
      <c r="A22" s="14" t="s">
        <v>58</v>
      </c>
      <c r="B22" s="11" t="s">
        <v>218</v>
      </c>
    </row>
    <row r="23" spans="1:2" x14ac:dyDescent="0.25">
      <c r="A23" s="14" t="s">
        <v>219</v>
      </c>
      <c r="B23" s="12" t="s">
        <v>220</v>
      </c>
    </row>
    <row r="24" spans="1:2" x14ac:dyDescent="0.25">
      <c r="A24" s="14" t="s">
        <v>66</v>
      </c>
      <c r="B24" s="11" t="s">
        <v>221</v>
      </c>
    </row>
    <row r="25" spans="1:2" x14ac:dyDescent="0.25">
      <c r="A25" s="14" t="s">
        <v>119</v>
      </c>
      <c r="B25" s="12" t="s">
        <v>222</v>
      </c>
    </row>
    <row r="26" spans="1:2" x14ac:dyDescent="0.25">
      <c r="A26" s="14" t="s">
        <v>126</v>
      </c>
      <c r="B26" s="11" t="s">
        <v>223</v>
      </c>
    </row>
    <row r="27" spans="1:2" x14ac:dyDescent="0.25">
      <c r="A27" s="14" t="s">
        <v>224</v>
      </c>
      <c r="B27" s="12" t="s">
        <v>225</v>
      </c>
    </row>
    <row r="28" spans="1:2" x14ac:dyDescent="0.25">
      <c r="A28" s="14" t="s">
        <v>160</v>
      </c>
      <c r="B28" s="11" t="s">
        <v>205</v>
      </c>
    </row>
    <row r="29" spans="1:2" x14ac:dyDescent="0.25">
      <c r="A29" s="15" t="s">
        <v>56</v>
      </c>
      <c r="B29" s="12" t="s">
        <v>226</v>
      </c>
    </row>
    <row r="30" spans="1:2" x14ac:dyDescent="0.25">
      <c r="A30" s="15" t="s">
        <v>58</v>
      </c>
      <c r="B30" s="11" t="s">
        <v>218</v>
      </c>
    </row>
    <row r="31" spans="1:2" x14ac:dyDescent="0.25">
      <c r="A31" s="15" t="s">
        <v>59</v>
      </c>
      <c r="B31" s="12" t="s">
        <v>227</v>
      </c>
    </row>
    <row r="32" spans="1:2" x14ac:dyDescent="0.25">
      <c r="A32" s="15" t="s">
        <v>57</v>
      </c>
      <c r="B32" s="11" t="s">
        <v>228</v>
      </c>
    </row>
    <row r="33" spans="1:2" x14ac:dyDescent="0.25">
      <c r="A33" s="15" t="s">
        <v>60</v>
      </c>
      <c r="B33" s="12" t="s">
        <v>229</v>
      </c>
    </row>
    <row r="34" spans="1:2" x14ac:dyDescent="0.25">
      <c r="A34" s="15" t="s">
        <v>155</v>
      </c>
      <c r="B34" s="11" t="s">
        <v>230</v>
      </c>
    </row>
    <row r="35" spans="1:2" x14ac:dyDescent="0.25">
      <c r="A35" s="15" t="s">
        <v>156</v>
      </c>
      <c r="B35" s="12" t="s">
        <v>231</v>
      </c>
    </row>
    <row r="36" spans="1:2" x14ac:dyDescent="0.25">
      <c r="A36" s="15" t="s">
        <v>157</v>
      </c>
      <c r="B36" s="11" t="s">
        <v>232</v>
      </c>
    </row>
    <row r="37" spans="1:2" x14ac:dyDescent="0.25">
      <c r="A37" s="15" t="s">
        <v>158</v>
      </c>
      <c r="B37" s="12" t="s">
        <v>233</v>
      </c>
    </row>
    <row r="38" spans="1:2" x14ac:dyDescent="0.25">
      <c r="A38" s="15" t="s">
        <v>159</v>
      </c>
      <c r="B38" s="11" t="s">
        <v>234</v>
      </c>
    </row>
    <row r="39" spans="1:2" x14ac:dyDescent="0.25">
      <c r="A39" s="16" t="s">
        <v>70</v>
      </c>
      <c r="B39" s="12" t="s">
        <v>235</v>
      </c>
    </row>
    <row r="40" spans="1:2" x14ac:dyDescent="0.25">
      <c r="A40" s="16" t="s">
        <v>69</v>
      </c>
      <c r="B40" s="11" t="s">
        <v>236</v>
      </c>
    </row>
    <row r="41" spans="1:2" x14ac:dyDescent="0.25">
      <c r="A41" s="16" t="s">
        <v>71</v>
      </c>
      <c r="B41" s="12" t="s">
        <v>237</v>
      </c>
    </row>
    <row r="42" spans="1:2" x14ac:dyDescent="0.25">
      <c r="A42" s="16" t="s">
        <v>72</v>
      </c>
      <c r="B42" s="11" t="s">
        <v>238</v>
      </c>
    </row>
    <row r="43" spans="1:2" x14ac:dyDescent="0.25">
      <c r="A43" s="16" t="s">
        <v>74</v>
      </c>
      <c r="B43" s="12" t="s">
        <v>239</v>
      </c>
    </row>
    <row r="44" spans="1:2" x14ac:dyDescent="0.25">
      <c r="A44" s="16" t="s">
        <v>120</v>
      </c>
      <c r="B44" s="11" t="s">
        <v>240</v>
      </c>
    </row>
    <row r="45" spans="1:2" x14ac:dyDescent="0.25">
      <c r="A45" s="16" t="s">
        <v>73</v>
      </c>
      <c r="B45" s="12" t="s">
        <v>241</v>
      </c>
    </row>
    <row r="46" spans="1:2" x14ac:dyDescent="0.25">
      <c r="A46" s="16" t="s">
        <v>75</v>
      </c>
      <c r="B46" s="11" t="s">
        <v>242</v>
      </c>
    </row>
    <row r="47" spans="1:2" x14ac:dyDescent="0.25">
      <c r="A47" s="16" t="s">
        <v>243</v>
      </c>
      <c r="B47" s="12" t="s">
        <v>244</v>
      </c>
    </row>
    <row r="48" spans="1:2" x14ac:dyDescent="0.25">
      <c r="A48" s="16" t="s">
        <v>121</v>
      </c>
      <c r="B48" s="11" t="s">
        <v>245</v>
      </c>
    </row>
    <row r="49" spans="1:2" x14ac:dyDescent="0.25">
      <c r="A49" s="17" t="s">
        <v>78</v>
      </c>
      <c r="B49" s="12" t="s">
        <v>246</v>
      </c>
    </row>
    <row r="50" spans="1:2" x14ac:dyDescent="0.25">
      <c r="A50" s="17" t="s">
        <v>80</v>
      </c>
      <c r="B50" s="11" t="s">
        <v>247</v>
      </c>
    </row>
    <row r="51" spans="1:2" x14ac:dyDescent="0.25">
      <c r="A51" s="17" t="s">
        <v>79</v>
      </c>
      <c r="B51" s="12" t="s">
        <v>248</v>
      </c>
    </row>
    <row r="52" spans="1:2" x14ac:dyDescent="0.25">
      <c r="A52" s="17" t="s">
        <v>81</v>
      </c>
      <c r="B52" s="11" t="s">
        <v>249</v>
      </c>
    </row>
    <row r="53" spans="1:2" x14ac:dyDescent="0.25">
      <c r="A53" s="17" t="s">
        <v>250</v>
      </c>
      <c r="B53" s="12" t="s">
        <v>251</v>
      </c>
    </row>
    <row r="54" spans="1:2" x14ac:dyDescent="0.25">
      <c r="A54" s="17" t="s">
        <v>252</v>
      </c>
      <c r="B54" s="11" t="s">
        <v>253</v>
      </c>
    </row>
    <row r="55" spans="1:2" x14ac:dyDescent="0.25">
      <c r="A55" s="17" t="s">
        <v>163</v>
      </c>
      <c r="B55" s="12" t="s">
        <v>254</v>
      </c>
    </row>
    <row r="56" spans="1:2" x14ac:dyDescent="0.25">
      <c r="A56" s="17" t="s">
        <v>255</v>
      </c>
      <c r="B56" s="11" t="s">
        <v>256</v>
      </c>
    </row>
    <row r="57" spans="1:2" x14ac:dyDescent="0.25">
      <c r="A57" s="17" t="s">
        <v>164</v>
      </c>
      <c r="B57" s="12" t="s">
        <v>257</v>
      </c>
    </row>
    <row r="58" spans="1:2" x14ac:dyDescent="0.25">
      <c r="A58" s="17" t="s">
        <v>258</v>
      </c>
      <c r="B58" s="11" t="s">
        <v>259</v>
      </c>
    </row>
    <row r="59" spans="1:2" x14ac:dyDescent="0.25">
      <c r="A59" s="17" t="s">
        <v>415</v>
      </c>
      <c r="B59" s="22" t="s">
        <v>416</v>
      </c>
    </row>
    <row r="60" spans="1:2" x14ac:dyDescent="0.25">
      <c r="A60" s="18" t="s">
        <v>84</v>
      </c>
      <c r="B60" s="12" t="s">
        <v>260</v>
      </c>
    </row>
    <row r="61" spans="1:2" x14ac:dyDescent="0.25">
      <c r="A61" s="18" t="s">
        <v>261</v>
      </c>
      <c r="B61" s="11" t="s">
        <v>262</v>
      </c>
    </row>
    <row r="62" spans="1:2" x14ac:dyDescent="0.25">
      <c r="A62" s="18" t="s">
        <v>263</v>
      </c>
      <c r="B62" s="12" t="s">
        <v>264</v>
      </c>
    </row>
    <row r="63" spans="1:2" x14ac:dyDescent="0.25">
      <c r="A63" s="18" t="s">
        <v>265</v>
      </c>
      <c r="B63" s="11" t="s">
        <v>266</v>
      </c>
    </row>
    <row r="64" spans="1:2" x14ac:dyDescent="0.25">
      <c r="A64" s="18" t="s">
        <v>267</v>
      </c>
      <c r="B64" s="12" t="s">
        <v>268</v>
      </c>
    </row>
    <row r="65" spans="1:2" x14ac:dyDescent="0.25">
      <c r="A65" s="18" t="s">
        <v>165</v>
      </c>
      <c r="B65" s="11" t="s">
        <v>269</v>
      </c>
    </row>
    <row r="66" spans="1:2" x14ac:dyDescent="0.25">
      <c r="A66" s="18" t="s">
        <v>166</v>
      </c>
      <c r="B66" s="12" t="s">
        <v>270</v>
      </c>
    </row>
    <row r="67" spans="1:2" x14ac:dyDescent="0.25">
      <c r="A67" s="19" t="s">
        <v>271</v>
      </c>
      <c r="B67" s="11" t="s">
        <v>272</v>
      </c>
    </row>
    <row r="68" spans="1:2" x14ac:dyDescent="0.25">
      <c r="A68" s="19" t="s">
        <v>273</v>
      </c>
      <c r="B68" s="12" t="s">
        <v>274</v>
      </c>
    </row>
    <row r="69" spans="1:2" x14ac:dyDescent="0.25">
      <c r="A69" s="19" t="s">
        <v>87</v>
      </c>
      <c r="B69" s="11" t="s">
        <v>275</v>
      </c>
    </row>
    <row r="70" spans="1:2" x14ac:dyDescent="0.25">
      <c r="A70" s="19" t="s">
        <v>167</v>
      </c>
      <c r="B70" s="12" t="s">
        <v>276</v>
      </c>
    </row>
    <row r="71" spans="1:2" x14ac:dyDescent="0.25">
      <c r="A71" s="19" t="s">
        <v>277</v>
      </c>
      <c r="B71" s="11" t="s">
        <v>278</v>
      </c>
    </row>
    <row r="72" spans="1:2" x14ac:dyDescent="0.25">
      <c r="A72" s="19" t="s">
        <v>279</v>
      </c>
      <c r="B72" s="12" t="s">
        <v>280</v>
      </c>
    </row>
    <row r="73" spans="1:2" x14ac:dyDescent="0.25">
      <c r="A73" s="19" t="s">
        <v>281</v>
      </c>
      <c r="B73" s="11" t="s">
        <v>282</v>
      </c>
    </row>
    <row r="74" spans="1:2" x14ac:dyDescent="0.25">
      <c r="A74" s="19" t="s">
        <v>283</v>
      </c>
      <c r="B74" s="12" t="s">
        <v>284</v>
      </c>
    </row>
    <row r="75" spans="1:2" x14ac:dyDescent="0.25">
      <c r="A75" s="19" t="s">
        <v>285</v>
      </c>
      <c r="B75" s="11" t="s">
        <v>286</v>
      </c>
    </row>
    <row r="76" spans="1:2" x14ac:dyDescent="0.25">
      <c r="A76" s="19" t="s">
        <v>287</v>
      </c>
      <c r="B76" s="12" t="s">
        <v>256</v>
      </c>
    </row>
    <row r="77" spans="1:2" x14ac:dyDescent="0.25">
      <c r="A77" s="20" t="s">
        <v>90</v>
      </c>
      <c r="B77" s="11" t="s">
        <v>288</v>
      </c>
    </row>
    <row r="78" spans="1:2" x14ac:dyDescent="0.25">
      <c r="A78" s="20" t="s">
        <v>167</v>
      </c>
      <c r="B78" s="12" t="s">
        <v>276</v>
      </c>
    </row>
    <row r="79" spans="1:2" x14ac:dyDescent="0.25">
      <c r="A79" s="20" t="s">
        <v>168</v>
      </c>
      <c r="B79" s="11" t="s">
        <v>289</v>
      </c>
    </row>
    <row r="80" spans="1:2" x14ac:dyDescent="0.25">
      <c r="A80" s="20" t="s">
        <v>290</v>
      </c>
      <c r="B80" s="12" t="s">
        <v>291</v>
      </c>
    </row>
    <row r="81" spans="1:2" x14ac:dyDescent="0.25">
      <c r="A81" s="20" t="s">
        <v>292</v>
      </c>
      <c r="B81" s="11" t="s">
        <v>293</v>
      </c>
    </row>
    <row r="82" spans="1:2" x14ac:dyDescent="0.25">
      <c r="A82" s="20" t="s">
        <v>294</v>
      </c>
      <c r="B82" s="12" t="s">
        <v>295</v>
      </c>
    </row>
    <row r="83" spans="1:2" x14ac:dyDescent="0.25">
      <c r="A83" s="20" t="s">
        <v>169</v>
      </c>
      <c r="B83" s="11" t="s">
        <v>296</v>
      </c>
    </row>
    <row r="84" spans="1:2" x14ac:dyDescent="0.25">
      <c r="A84" s="20" t="s">
        <v>297</v>
      </c>
      <c r="B84" s="12" t="s">
        <v>298</v>
      </c>
    </row>
    <row r="85" spans="1:2" x14ac:dyDescent="0.25">
      <c r="A85" s="20" t="s">
        <v>299</v>
      </c>
      <c r="B85" s="11" t="s">
        <v>300</v>
      </c>
    </row>
    <row r="86" spans="1:2" x14ac:dyDescent="0.25">
      <c r="A86" s="20" t="s">
        <v>170</v>
      </c>
      <c r="B86" s="12" t="s">
        <v>301</v>
      </c>
    </row>
    <row r="87" spans="1:2" x14ac:dyDescent="0.25">
      <c r="A87" s="21" t="s">
        <v>302</v>
      </c>
      <c r="B87" s="11" t="s">
        <v>303</v>
      </c>
    </row>
    <row r="88" spans="1:2" x14ac:dyDescent="0.25">
      <c r="A88" s="21" t="s">
        <v>304</v>
      </c>
      <c r="B88" s="12" t="s">
        <v>305</v>
      </c>
    </row>
    <row r="89" spans="1:2" x14ac:dyDescent="0.25">
      <c r="A89" s="21" t="s">
        <v>306</v>
      </c>
      <c r="B89" s="11" t="s">
        <v>307</v>
      </c>
    </row>
    <row r="90" spans="1:2" x14ac:dyDescent="0.25">
      <c r="A90" s="21" t="s">
        <v>308</v>
      </c>
      <c r="B90" s="12" t="s">
        <v>309</v>
      </c>
    </row>
    <row r="91" spans="1:2" x14ac:dyDescent="0.25">
      <c r="A91" s="21" t="s">
        <v>310</v>
      </c>
      <c r="B91" s="11" t="s">
        <v>311</v>
      </c>
    </row>
    <row r="92" spans="1:2" x14ac:dyDescent="0.25">
      <c r="A92" s="21" t="s">
        <v>312</v>
      </c>
      <c r="B92" s="12" t="s">
        <v>313</v>
      </c>
    </row>
    <row r="93" spans="1:2" x14ac:dyDescent="0.25">
      <c r="A93" s="21" t="s">
        <v>314</v>
      </c>
      <c r="B93" s="11" t="s">
        <v>315</v>
      </c>
    </row>
    <row r="94" spans="1:2" x14ac:dyDescent="0.25">
      <c r="A94" s="21" t="s">
        <v>316</v>
      </c>
      <c r="B94" s="12" t="s">
        <v>317</v>
      </c>
    </row>
    <row r="95" spans="1:2" x14ac:dyDescent="0.25">
      <c r="A95" s="21" t="s">
        <v>318</v>
      </c>
      <c r="B95" s="11" t="s">
        <v>319</v>
      </c>
    </row>
    <row r="96" spans="1:2" x14ac:dyDescent="0.25">
      <c r="A96" s="21" t="s">
        <v>320</v>
      </c>
      <c r="B96" s="12" t="s">
        <v>317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421C67-6440-40F3-83EF-27E7296BE6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Data</vt:lpstr>
      <vt:lpstr>MonthCalc</vt:lpstr>
      <vt:lpstr>URLs</vt:lpstr>
      <vt:lpstr>Data!ExternalData_10</vt:lpstr>
      <vt:lpstr>Data!ExternalData_11</vt:lpstr>
      <vt:lpstr>Data!ExternalData_12</vt:lpstr>
      <vt:lpstr>Data!ExternalData_13</vt:lpstr>
      <vt:lpstr>Data!ExternalData_14</vt:lpstr>
      <vt:lpstr>Data!ExternalData_15</vt:lpstr>
      <vt:lpstr>Data!ExternalData_16</vt:lpstr>
      <vt:lpstr>Data!ExternalData_17</vt:lpstr>
      <vt:lpstr>Data!ExternalData_18</vt:lpstr>
      <vt:lpstr>Data!ExternalData_19</vt:lpstr>
      <vt:lpstr>Data!ExternalData_20</vt:lpstr>
      <vt:lpstr>Data!ExternalData_21</vt:lpstr>
      <vt:lpstr>Data!ExternalData_22</vt:lpstr>
      <vt:lpstr>Data!ExternalData_23</vt:lpstr>
      <vt:lpstr>Data!ExternalData_24</vt:lpstr>
      <vt:lpstr>Data!ExternalData_25</vt:lpstr>
      <vt:lpstr>Data!ExternalData_4</vt:lpstr>
      <vt:lpstr>Data!ExternalData_5</vt:lpstr>
      <vt:lpstr>Data!ExternalData_6</vt:lpstr>
      <vt:lpstr>Data!ExternalData_7</vt:lpstr>
      <vt:lpstr>Data!ExternalData_8</vt:lpstr>
    </vt:vector>
  </TitlesOfParts>
  <Company>IRCC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Bédard, Karine (IRCC/IRCC) (she, her | elle, la)</dc:creator>
  <cp:lastModifiedBy>Bédard, Karine (IRCC/IRCC) (she, her | elle, la)</cp:lastModifiedBy>
  <dcterms:created xsi:type="dcterms:W3CDTF">2024-04-05T14:41:42Z</dcterms:created>
  <dcterms:modified xsi:type="dcterms:W3CDTF">2025-03-10T15:42:30Z</dcterms:modified>
</cp:coreProperties>
</file>