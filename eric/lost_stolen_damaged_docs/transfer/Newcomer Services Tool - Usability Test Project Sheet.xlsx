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GitHub\ircc\eric\lost_stolen_damaged_docs\transfer\"/>
    </mc:Choice>
  </mc:AlternateContent>
  <xr:revisionPtr revIDLastSave="0" documentId="8_{BD4B9D55-CDB6-4C82-B2A5-39507953BCA5}" xr6:coauthVersionLast="47" xr6:coauthVersionMax="47" xr10:uidLastSave="{00000000-0000-0000-0000-000000000000}"/>
  <bookViews>
    <workbookView xWindow="-120" yWindow="-120" windowWidth="29040" windowHeight="15720" tabRatio="500" firstSheet="3" activeTab="3" xr2:uid="{00000000-000D-0000-FFFF-FFFF00000000}"/>
  </bookViews>
  <sheets>
    <sheet name="Kickoff Questions" sheetId="1" r:id="rId1"/>
    <sheet name="Summary" sheetId="2" r:id="rId2"/>
    <sheet name="Test Goals" sheetId="3" r:id="rId3"/>
    <sheet name="Tasks" sheetId="4" r:id="rId4"/>
    <sheet name="Participants" sheetId="5" r:id="rId5"/>
    <sheet name="Data" sheetId="6" r:id="rId6"/>
    <sheet name="Analysis" sheetId="7" r:id="rId7"/>
    <sheet name="Help &amp; Guidance" sheetId="8"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2" i="2" l="1"/>
  <c r="G11" i="2"/>
  <c r="G10" i="2"/>
  <c r="G9" i="2"/>
  <c r="G8" i="2"/>
  <c r="G7" i="2"/>
  <c r="G6" i="2"/>
  <c r="G5" i="2"/>
  <c r="G4" i="2"/>
  <c r="F12" i="2"/>
  <c r="F11" i="2"/>
  <c r="F10" i="2"/>
  <c r="F9" i="2"/>
  <c r="F8" i="2"/>
  <c r="F7" i="2"/>
  <c r="F6" i="2"/>
  <c r="F5" i="2"/>
  <c r="F4" i="2"/>
  <c r="E12" i="2"/>
  <c r="E11" i="2"/>
  <c r="E10" i="2"/>
  <c r="E9" i="2"/>
  <c r="E8" i="2"/>
  <c r="E7" i="2"/>
  <c r="E6" i="2"/>
  <c r="E5" i="2"/>
  <c r="E4" i="2"/>
  <c r="D12" i="2"/>
  <c r="D11" i="2"/>
  <c r="D10" i="2"/>
  <c r="D9" i="2"/>
  <c r="D8" i="2"/>
  <c r="D7" i="2"/>
  <c r="D6" i="2"/>
  <c r="D5" i="2"/>
  <c r="D4" i="2"/>
  <c r="C12" i="2"/>
  <c r="C11" i="2"/>
  <c r="C10" i="2"/>
  <c r="C9" i="2"/>
  <c r="C8" i="2"/>
  <c r="C7" i="2"/>
  <c r="C6" i="2"/>
  <c r="C5" i="2"/>
  <c r="C4" i="2"/>
  <c r="C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tc={88FC55E0-FC22-492E-9CF9-2F8C9B8F8EBC}</author>
    <author>tc={352F363A-7F57-420D-B48E-3C8F4AE922AE}</author>
  </authors>
  <commentList>
    <comment ref="D7" authorId="0" shapeId="0" xr:uid="{88FC55E0-FC22-492E-9CF9-2F8C9B8F8EBC}">
      <text>
        <t xml:space="preserve">[Threaded comment]
Your version of Excel allows you to read this threaded comment; however, any edits to it will get removed if the file is opened in a newer version of Excel. Learn more: https://go.microsoft.com/fwlink/?linkid=870924
Comment:
    For the last sentence, could we say something like "When you get to Ottawa, where could you go to get French-language support for finding employment?" </t>
      </text>
    </comment>
    <comment ref="F7" authorId="1" shapeId="0" xr:uid="{352F363A-7F57-420D-B48E-3C8F4AE922AE}">
      <text>
        <t xml:space="preserve">[Threaded comment]
Your version of Excel allows you to read this threaded comment; however, any edits to it will get removed if the file is opened in a newer version of Excel. Learn more: https://go.microsoft.com/fwlink/?linkid=870924
Comment:
    Note to self. Circle back to this one after meeting with Nadya. Results are weird. </t>
      </text>
    </comment>
  </commentList>
</comments>
</file>

<file path=xl/sharedStrings.xml><?xml version="1.0" encoding="utf-8"?>
<sst xmlns="http://schemas.openxmlformats.org/spreadsheetml/2006/main" count="501" uniqueCount="393">
  <si>
    <t>USABILITY TEST KICKOFF · Questions to Scope Your Study</t>
  </si>
  <si>
    <t>Question</t>
  </si>
  <si>
    <t>Your Notes</t>
  </si>
  <si>
    <t>Background &amp; Organizational Context</t>
  </si>
  <si>
    <t>›</t>
  </si>
  <si>
    <t>What is the product or page, and who is it designed for?</t>
  </si>
  <si>
    <t>https://ircc.canada.ca/english/newcomers/services/index.asp
Designed for newcomers to Canada seeking services</t>
  </si>
  <si>
    <t>What problem does it solve for our web visitors? What problem does it solve for the IRCC?</t>
  </si>
  <si>
    <t>Where does this sit in the design lifecycle — pre-launch validation, a post-launch audit, or something else?</t>
  </si>
  <si>
    <t>Post-launch audit + validation of recent design updates</t>
  </si>
  <si>
    <t>What prompted this research request right now? Was there a specific incident, metric, complaint, or upcoming deadline?</t>
  </si>
  <si>
    <t>Has this product or feature been tested before? If so, what were the findings, and what changed since then?</t>
  </si>
  <si>
    <t>Are there competing internal priorities or other work we should be aware of that might affect timelines?</t>
  </si>
  <si>
    <t>Research Goals &amp; Questions</t>
  </si>
  <si>
    <t>What are the two or three most important things you need to learn from this test?</t>
  </si>
  <si>
    <r>
      <rPr>
        <sz val="11"/>
        <color rgb="FF000000"/>
        <rFont val="Calibri"/>
      </rPr>
      <t>o	Can users</t>
    </r>
    <r>
      <rPr>
        <b/>
        <sz val="11"/>
        <color rgb="FF000000"/>
        <rFont val="Calibri"/>
      </rPr>
      <t xml:space="preserve"> filter services</t>
    </r>
    <r>
      <rPr>
        <sz val="11"/>
        <color rgb="FF000000"/>
        <rFont val="Calibri"/>
      </rPr>
      <t xml:space="preserve"> that are relevant to them? Maybe this is too expansive, but I’d love to see some mobile and desktop sessions.  
o	Are French-speaking users having any specific issues with the page, including users destined for or living
	Outside Quebec
	In Quebec (i.e. does the expand collapse work effectively divert Quebec’s newcomers to MIFI)
o	I’m also debating whether we want to check if clients understand the new eligibility criteria for economic immigrants? 
	This would potentially add a second page to our testing, and it’s not as much of a priority for me
</t>
    </r>
  </si>
  <si>
    <t>If you could only answer one question from this test, what would it be?</t>
  </si>
  <si>
    <t xml:space="preserve">What decisions will be made with the output of this test? </t>
  </si>
  <si>
    <t>Are there any hypotheses you're already working with — things you suspect are true but need to validate or disprove?</t>
  </si>
  <si>
    <t>Are there any areas of the product you specifically want to include or exclude from testing?</t>
  </si>
  <si>
    <t>Is there anything you're worried we might find?</t>
  </si>
  <si>
    <t>What does 'success' look like for this test — what would make you or your stakeholders feel it was worth doing?</t>
  </si>
  <si>
    <t>Users &amp; Participants</t>
  </si>
  <si>
    <t>Who is the primary target user for this product or feature?</t>
  </si>
  <si>
    <t>Are there distinct user segments or personas we should account for? Should we test all of them, or prioritize one?</t>
  </si>
  <si>
    <t>What level of prior experience with this product should participants have — first-time users, occasional users, power users, or a mix?</t>
  </si>
  <si>
    <t>Are there any technical or domain knowledge requirements for participants (e.g., must be a healthcare professional, must manage a team of 5+)?</t>
  </si>
  <si>
    <t>What devices do your users typically use — desktop, mobile, tablet? Is there a known split?</t>
  </si>
  <si>
    <t>What is the geographic and language distribution of your users? Should the test reflect that?</t>
  </si>
  <si>
    <t>Are there demographics that are particularly important to include or exclude (e.g., accessibility needs, age ranges, tech literacy)?</t>
  </si>
  <si>
    <t>Scope &amp; Tasks</t>
  </si>
  <si>
    <t>What are the specific tasks or user journeys you want us to test?</t>
  </si>
  <si>
    <t>Are these tasks based on actual observed user behaviour, or are they assumed flows?</t>
  </si>
  <si>
    <t>What is the starting point for each task — a specific URL, a particular app state, a logged-in or logged-out experience?</t>
  </si>
  <si>
    <t>Are there prerequisite conditions for any tasks (e.g., the user must have already created an account, already applied for a visa)?</t>
  </si>
  <si>
    <t>Are there tasks you want to include for benchmarking purposes — things you've tested before and want to track over time?</t>
  </si>
  <si>
    <t>What does successful completion of each task look like? Is it binary, or is partial completion meaningful?</t>
  </si>
  <si>
    <t>Should we be testing the current live product, a prototype, or a staging environment?</t>
  </si>
  <si>
    <t>If it's a prototype — how complete is it? Are there dead ends, missing states, or known gaps we should know about?</t>
  </si>
  <si>
    <t>Are there any flows that are broken, incomplete, or should be avoided during testing?</t>
  </si>
  <si>
    <t>Timeline &amp; Logistics</t>
  </si>
  <si>
    <t>When do you need findings delivered by? Is there a specific decision gate, release date, or meeting this needs to feed into?</t>
  </si>
  <si>
    <t>Working backwards from that — what is the latest we can start recruitment?</t>
  </si>
  <si>
    <t>How much flexibility is there in the timeline if recruitment is slow or technical issues arise?</t>
  </si>
  <si>
    <t>What is the availability of your team to review screeners, discussion guides, and prototypes before fieldwork begins?</t>
  </si>
  <si>
    <t>Will you need a topline readout before the full report, and if so, how quickly after sessions end?</t>
  </si>
  <si>
    <t>What format do you want deliverables in — slide deck, written report, video highlights, a working session, or a combination?</t>
  </si>
  <si>
    <t>Who needs to be in the readout meeting? Are there executive stakeholders who need a shorter version?</t>
  </si>
  <si>
    <t>Stakeholders &amp; Decision-Making</t>
  </si>
  <si>
    <t>Who are the key stakeholders for this project?</t>
  </si>
  <si>
    <t>Who is the primary point of contact we should work with day-to-day?</t>
  </si>
  <si>
    <t>Does anyone need to approve the screener, tasks, and final deliverable?</t>
  </si>
  <si>
    <t>Are there known internal disagreements about the design we should be aware of — areas where the team is already debating what to do?</t>
  </si>
  <si>
    <t>After the Study</t>
  </si>
  <si>
    <t>Who owns the findings after delivery — who is responsible for tracking what gets acted on?</t>
  </si>
  <si>
    <t>Would you like a follow-up session after the report to work through prioritisation of issues?</t>
  </si>
  <si>
    <t>USABILITY TEST PLAN · Summary Dashboard</t>
  </si>
  <si>
    <t>TASK COMPLETION RATES (by Success Code)</t>
  </si>
  <si>
    <t>Metric</t>
  </si>
  <si>
    <t>Task 1</t>
  </si>
  <si>
    <t>Task 2</t>
  </si>
  <si>
    <t>Task 3</t>
  </si>
  <si>
    <t>Task 4</t>
  </si>
  <si>
    <t>Task 5</t>
  </si>
  <si>
    <t>Success</t>
  </si>
  <si>
    <t>Partial Fail</t>
  </si>
  <si>
    <t>Fail</t>
  </si>
  <si>
    <t>Time Limit</t>
  </si>
  <si>
    <t>Give Up</t>
  </si>
  <si>
    <t>Technical Issues</t>
  </si>
  <si>
    <t>Other</t>
  </si>
  <si>
    <t>Total Recorded</t>
  </si>
  <si>
    <t>Success Rate</t>
  </si>
  <si>
    <t>TOP-LEVEL FINDINGS SUMMARY</t>
  </si>
  <si>
    <t>Most Critical Issue</t>
  </si>
  <si>
    <t>Most Impacted Task</t>
  </si>
  <si>
    <t>Overall Success Rate</t>
  </si>
  <si>
    <t>Key Recommendation 1</t>
  </si>
  <si>
    <t>Key Recommendation 2</t>
  </si>
  <si>
    <t>Key Recommendation 3</t>
  </si>
  <si>
    <t>Follow-up Questions</t>
  </si>
  <si>
    <t>Next Steps</t>
  </si>
  <si>
    <t>USABILITY TEST PLAN · Test Goals</t>
  </si>
  <si>
    <t>STUDY METADATA</t>
  </si>
  <si>
    <t>Study Title</t>
  </si>
  <si>
    <t>Newcomer Services Tool Usability Test</t>
  </si>
  <si>
    <t>Page or Product</t>
  </si>
  <si>
    <t>https://ircc.canada.ca/francais/nouveaux/services/index.asp</t>
  </si>
  <si>
    <t>Research Lead</t>
  </si>
  <si>
    <t>Eric</t>
  </si>
  <si>
    <t>WUX Support</t>
  </si>
  <si>
    <t>Nadya</t>
  </si>
  <si>
    <t>Date(s) of Testing</t>
  </si>
  <si>
    <t>April 27 - May 22</t>
  </si>
  <si>
    <t>Methodology</t>
  </si>
  <si>
    <t>Unmoderated Usability Testing (UserLytics); French participants; mix of mobile and desktop</t>
  </si>
  <si>
    <t>STUDY GOALS</t>
  </si>
  <si>
    <t>#</t>
  </si>
  <si>
    <t>Research Goal</t>
  </si>
  <si>
    <t>Why It Matters</t>
  </si>
  <si>
    <t>How It Will Be Measured</t>
  </si>
  <si>
    <t>Priority</t>
  </si>
  <si>
    <t>1</t>
  </si>
  <si>
    <t>Assess usability of search filters; AND OR logic; etc. Search and filter button distance, etc. Do people understand that results are sorted closest to furthest?</t>
  </si>
  <si>
    <t>Key function of page; recently redesigned</t>
  </si>
  <si>
    <t xml:space="preserve">For filter task(s), we will track: Do people Find them? Do people Use them? Do they encounter Errors? Do they understand the output of the filters? </t>
  </si>
  <si>
    <t>High</t>
  </si>
  <si>
    <t>2</t>
  </si>
  <si>
    <t>Explore pain points for FR participants in  tasks both outside Canada and Inside Quebec</t>
  </si>
  <si>
    <t>Important to divert QC-related queries; recently redesigned</t>
  </si>
  <si>
    <t xml:space="preserve">Task success - do participants successfully understand where to go if they are in Quebec or not?
Possibly two tasks - outside canada looking for pre-arrival, but also outside canada with intention for a speicific community. </t>
  </si>
  <si>
    <t>3</t>
  </si>
  <si>
    <t>Assess usability of economic migrant criteria</t>
  </si>
  <si>
    <t>Recently updated - would be nice to get some info about performance</t>
  </si>
  <si>
    <t>Task success + qualitative feedback</t>
  </si>
  <si>
    <t>Low</t>
  </si>
  <si>
    <t>4</t>
  </si>
  <si>
    <t xml:space="preserve">program client needs: different provinces sometimes come up when searching just by province; Reseau Femmes appearing when you search Vancouver + French; </t>
  </si>
  <si>
    <t>5</t>
  </si>
  <si>
    <t xml:space="preserve">context: SPO tool has list of 1300 orgs, only 206 are franco services. 
FR page: 54% only use location, not filters. </t>
  </si>
  <si>
    <t>MEASUREMENT METHODS · Reference</t>
  </si>
  <si>
    <t>Description</t>
  </si>
  <si>
    <t>When to Use</t>
  </si>
  <si>
    <t>Time on Task</t>
  </si>
  <si>
    <t>Task time within UserLytics</t>
  </si>
  <si>
    <t>Efficiency benchmarking; identifying slow flows</t>
  </si>
  <si>
    <t>Task Success Rate</t>
  </si>
  <si>
    <t>% of participants who complete task successfully</t>
  </si>
  <si>
    <t>Core usability health metric</t>
  </si>
  <si>
    <t>Error Rate</t>
  </si>
  <si>
    <t># of errors / incorrect actions per task attempt</t>
  </si>
  <si>
    <t>Identifying misleading UI elements</t>
  </si>
  <si>
    <t>Think-Aloud Feedback</t>
  </si>
  <si>
    <t>Verbal commentary captured during the session</t>
  </si>
  <si>
    <t>Understanding mental models &amp; confusion points</t>
  </si>
  <si>
    <t>USABILITY TEST PLAN · Tasks &amp; Scenarios</t>
  </si>
  <si>
    <t>Define each task scenario, the starting state, success criteria, and researcher notes.</t>
  </si>
  <si>
    <t>Task #</t>
  </si>
  <si>
    <t>Task Title</t>
  </si>
  <si>
    <t>Task Text English (for easier drafting)</t>
  </si>
  <si>
    <t>Task Text French (shown to participant)</t>
  </si>
  <si>
    <t>Success Criteria</t>
  </si>
  <si>
    <t>Starting URL / Pre-conditions</t>
  </si>
  <si>
    <t>Time Limit
(mm:ss)</t>
  </si>
  <si>
    <t>Difficulty
Estimate</t>
  </si>
  <si>
    <t>Researcher Notes</t>
  </si>
  <si>
    <t>T1</t>
  </si>
  <si>
    <t>Basic Filter Task</t>
  </si>
  <si>
    <t>You are a permanent resident of Canada, living in Manitoba. Where could you go to get support for your 16 year old son, who only speaks French?</t>
  </si>
  <si>
    <t>Vous êtes résident permanent du Canada, vivant au Manitoba. Où pourriez-vous aller pour obtenir du soutien pour votre fils de 16 ans, qui ne parle que français ?</t>
  </si>
  <si>
    <r>
      <rPr>
        <b/>
        <sz val="10"/>
        <color rgb="FF555555"/>
        <rFont val="Arial"/>
      </rPr>
      <t xml:space="preserve">Success: 
</t>
    </r>
    <r>
      <rPr>
        <sz val="10"/>
        <color rgb="FF555555"/>
        <rFont val="Arial"/>
      </rPr>
      <t xml:space="preserve">Filters: Uses In French; Youth (15-30)
Search: Manitoba
Answer: Pluri-elles (Manitoba), inc.OR CDEM
OR they identify a Manitoba SPO that fits criteria without using filters
</t>
    </r>
    <r>
      <rPr>
        <b/>
        <sz val="10"/>
        <color rgb="FF555555"/>
        <rFont val="Arial"/>
      </rPr>
      <t xml:space="preserve">Partial success: 
</t>
    </r>
    <r>
      <rPr>
        <sz val="10"/>
        <color rgb="FF555555"/>
        <rFont val="Arial"/>
      </rPr>
      <t xml:space="preserve">-Identifies a SPO that doesn't provide service in French OR doesn't provide supports for youth OR isn't in Manitoba (e.g. 1 thing wrong)
</t>
    </r>
    <r>
      <rPr>
        <b/>
        <sz val="10"/>
        <color rgb="FF555555"/>
        <rFont val="Arial"/>
      </rPr>
      <t xml:space="preserve">Partial fail: </t>
    </r>
    <r>
      <rPr>
        <sz val="10"/>
        <color rgb="FF555555"/>
        <rFont val="Arial"/>
      </rPr>
      <t xml:space="preserve">2 or more things wrong
</t>
    </r>
    <r>
      <rPr>
        <b/>
        <sz val="10"/>
        <color rgb="FF555555"/>
        <rFont val="Arial"/>
      </rPr>
      <t xml:space="preserve">Fail: </t>
    </r>
    <r>
      <rPr>
        <sz val="10"/>
        <color rgb="FF555555"/>
        <rFont val="Arial"/>
      </rPr>
      <t>Completely wrong. Did not identify a SPO at all, OR identified one that isn't French, doesn't provide services for youth, and isn't in Manitoba</t>
    </r>
  </si>
  <si>
    <t xml:space="preserve">SPO tool, anchored to top of page. </t>
  </si>
  <si>
    <t>5 mins</t>
  </si>
  <si>
    <t>Medium</t>
  </si>
  <si>
    <t>Goal: Evaluate usage of filters and search
Subgoal: Does participant say anything when the results include other provinces?</t>
  </si>
  <si>
    <t>T2</t>
  </si>
  <si>
    <t>Inside QC task</t>
  </si>
  <si>
    <t>You are a refugee living in Gatineau, Quebec. Where could you go to get support to find housing?</t>
  </si>
  <si>
    <t>Vous êtes un réfugié vivant à Gatineau, au Québec. Où pourriez-vous aller pour obtenir de l'aide afin de trouver un logement ?</t>
  </si>
  <si>
    <r>
      <rPr>
        <b/>
        <sz val="10"/>
        <color rgb="FF555555"/>
        <rFont val="Arial"/>
      </rPr>
      <t xml:space="preserve">Success: 
</t>
    </r>
    <r>
      <rPr>
        <sz val="10"/>
        <color rgb="FF555555"/>
        <rFont val="Arial"/>
      </rPr>
      <t xml:space="preserve">Opens QC expando and continues to MIFI site. Identifies this site or any service on it.
</t>
    </r>
    <r>
      <rPr>
        <b/>
        <sz val="10"/>
        <color rgb="FF555555"/>
        <rFont val="Arial"/>
      </rPr>
      <t xml:space="preserve">Partial success: 
</t>
    </r>
    <r>
      <rPr>
        <sz val="10"/>
        <color rgb="FF555555"/>
        <rFont val="Arial"/>
      </rPr>
      <t xml:space="preserve">Opens QC expando but doesn't click. Ends task at expando.
</t>
    </r>
    <r>
      <rPr>
        <b/>
        <sz val="10"/>
        <color rgb="FF555555"/>
        <rFont val="Arial"/>
      </rPr>
      <t xml:space="preserve">
Partial fail:
???
Fail: 
</t>
    </r>
    <r>
      <rPr>
        <sz val="10"/>
        <color rgb="FF555555"/>
        <rFont val="Arial"/>
      </rPr>
      <t>Uses SPO tool to search for Quebec</t>
    </r>
  </si>
  <si>
    <t>T3</t>
  </si>
  <si>
    <t>Outside Canada - Pre-settlement services</t>
  </si>
  <si>
    <t xml:space="preserve">You currently live in Cameroon. Your application to become a permanent resident of Canada has been approved, but you have not yet moved there. Find resources to help you prepare to come to Canada while you are still in Cameroon. </t>
  </si>
  <si>
    <t>Vous vivez actuellement au Cameroun. Votre demande pour devenir résident permanent du Canada a été approuvée, mais vous n'avez pas encore déménagé là-bas. Trouvez des ressources pour vous aider à vous préparer à venir au Canada pendant que vous êtes encore au Cameroun.</t>
  </si>
  <si>
    <r>
      <rPr>
        <b/>
        <sz val="10"/>
        <color rgb="FF555555"/>
        <rFont val="Arial"/>
      </rPr>
      <t xml:space="preserve">Success:
</t>
    </r>
    <r>
      <rPr>
        <sz val="10"/>
        <color rgb="FF555555"/>
        <rFont val="Arial"/>
      </rPr>
      <t xml:space="preserve">Opens 'Si vous êtes à l’extérieur du Canada' expando 
AND clicks on link to reach Services avant l’arrivée
AND verbally confirms that this is where they would go (any subpage on Pre-arrival services = success)
</t>
    </r>
    <r>
      <rPr>
        <b/>
        <sz val="10"/>
        <color rgb="FF555555"/>
        <rFont val="Arial"/>
      </rPr>
      <t xml:space="preserve">Partial success: 
</t>
    </r>
    <r>
      <rPr>
        <sz val="10"/>
        <color rgb="FF555555"/>
        <rFont val="Arial"/>
      </rPr>
      <t xml:space="preserve">Opens expando but doesn't click on the link to Pre-arrival. 
</t>
    </r>
    <r>
      <rPr>
        <b/>
        <sz val="10"/>
        <color rgb="FF555555"/>
        <rFont val="Arial"/>
      </rPr>
      <t xml:space="preserve">
Partial fail: 
</t>
    </r>
    <r>
      <rPr>
        <sz val="10"/>
        <color rgb="FF555555"/>
        <rFont val="Arial"/>
      </rPr>
      <t xml:space="preserve">Understands that SPO search isn't for them, but doesn't know where to go. 
</t>
    </r>
    <r>
      <rPr>
        <b/>
        <sz val="10"/>
        <color rgb="FF555555"/>
        <rFont val="Arial"/>
      </rPr>
      <t xml:space="preserve">Fail: 
</t>
    </r>
    <r>
      <rPr>
        <sz val="10"/>
        <color rgb="FF555555"/>
        <rFont val="Arial"/>
      </rPr>
      <t xml:space="preserve">Uses SPO tool. </t>
    </r>
  </si>
  <si>
    <t>T4</t>
  </si>
  <si>
    <t>Ideally include in main test, but possibly EXTRA : Outside Canada - Curious about specific community</t>
  </si>
  <si>
    <t>You currently live in Algeria. Your application to become a permanent resident of Canada has been approved. You want to move to Toronto, Ontario. When you get to Toronto, where could you go to get support for finding employment and learning English?</t>
  </si>
  <si>
    <t>Vous vivez actuellement en Algérie. Votre demande pour devenir résident permanent du Canada a été approuvée. Vous souhaitez déménager à Toronto, en Ontario. Une fois à Toronto, où pourriez-vous aller pour obtenir de l'aide pour trouver un emploi et apprendre l'anglais ?</t>
  </si>
  <si>
    <r>
      <rPr>
        <b/>
        <sz val="10"/>
        <color rgb="FF555555"/>
        <rFont val="Arial"/>
      </rPr>
      <t xml:space="preserve">Success: 
</t>
    </r>
    <r>
      <rPr>
        <sz val="10"/>
        <color rgb="FF555555"/>
        <rFont val="Arial"/>
      </rPr>
      <t xml:space="preserve">Filters: Learning English; Help finding a job
Search: Toronto
Answer: Any Toronto SPO that includes those two (Finding work + Learning English)
OR they identify a Toronto SPO that fits criteria without using filters
</t>
    </r>
    <r>
      <rPr>
        <b/>
        <sz val="10"/>
        <color rgb="FF555555"/>
        <rFont val="Arial"/>
      </rPr>
      <t xml:space="preserve">Partial success: 
</t>
    </r>
    <r>
      <rPr>
        <sz val="10"/>
        <color rgb="FF555555"/>
        <rFont val="Arial"/>
      </rPr>
      <t xml:space="preserve">-Identifies a SPO that doesn't provide learning English OR doesn't provide help finding a job OR isn't in Toronto (e.g. 1 thing wrong)
</t>
    </r>
    <r>
      <rPr>
        <b/>
        <sz val="10"/>
        <color rgb="FF555555"/>
        <rFont val="Arial"/>
      </rPr>
      <t xml:space="preserve">Partial fail: </t>
    </r>
    <r>
      <rPr>
        <sz val="10"/>
        <color rgb="FF555555"/>
        <rFont val="Arial"/>
      </rPr>
      <t xml:space="preserve">2 or more things wrong
</t>
    </r>
    <r>
      <rPr>
        <b/>
        <sz val="10"/>
        <color rgb="FF555555"/>
        <rFont val="Arial"/>
      </rPr>
      <t>Fail:</t>
    </r>
    <r>
      <rPr>
        <sz val="10"/>
        <color rgb="FF555555"/>
        <rFont val="Arial"/>
      </rPr>
      <t xml:space="preserve"> Completely wrong. Did not identify a SPO at all, OR identified one that doesn't teach English, doesn't provide help with finding a job, and isn't in Toronto</t>
    </r>
  </si>
  <si>
    <t>T5</t>
  </si>
  <si>
    <t>EXTRA TASK: Economic migrant eligibility</t>
  </si>
  <si>
    <t xml:space="preserve">You are a permanent resident of Canada. You got your PR status through the Canadian Experience Class program on April 3, 2026. Are you eligible for the services on this page, and if so, for how long? </t>
  </si>
  <si>
    <t>Vous êtes un résident permanent du Canada. Vous avez obtenu votre statut de RP grâce au programme de l'expérience canadienne le 3 avril 2026. Êtes-vous admissible aux services de cette page, et le cas échéant, pour combien de temps ?</t>
  </si>
  <si>
    <r>
      <rPr>
        <b/>
        <sz val="10"/>
        <color rgb="FF555555"/>
        <rFont val="Arial"/>
      </rPr>
      <t xml:space="preserve">Success: 
</t>
    </r>
    <r>
      <rPr>
        <sz val="10"/>
        <color rgb="FF555555"/>
        <rFont val="Arial"/>
      </rPr>
      <t xml:space="preserve">Opens Eligibility expando, clicks Changes, and confirms that they are eligible for </t>
    </r>
    <r>
      <rPr>
        <b/>
        <sz val="10"/>
        <color rgb="FF555555"/>
        <rFont val="Arial"/>
      </rPr>
      <t xml:space="preserve">6 years from April 3. 
Partial success: 
</t>
    </r>
    <r>
      <rPr>
        <sz val="10"/>
        <color rgb="FF555555"/>
        <rFont val="Arial"/>
      </rPr>
      <t xml:space="preserve">Opens Eligibility expando, does NOT click Changes. Confirms that PRs are eligible but cannot confirm for how long
</t>
    </r>
    <r>
      <rPr>
        <b/>
        <sz val="10"/>
        <color rgb="FF555555"/>
        <rFont val="Arial"/>
      </rPr>
      <t xml:space="preserve">
Partial fail: 
</t>
    </r>
    <r>
      <rPr>
        <sz val="10"/>
        <color rgb="FF555555"/>
        <rFont val="Arial"/>
      </rPr>
      <t xml:space="preserve">Does not open Eligibility expando, and guesses that PRs are eligiblity for SPO services
</t>
    </r>
    <r>
      <rPr>
        <b/>
        <sz val="10"/>
        <color rgb="FF555555"/>
        <rFont val="Arial"/>
      </rPr>
      <t xml:space="preserve">
Fail: 
</t>
    </r>
    <r>
      <rPr>
        <sz val="10"/>
        <color rgb="FF555555"/>
        <rFont val="Arial"/>
      </rPr>
      <t xml:space="preserve">Cannot confirm at all if they are eligible or not. </t>
    </r>
  </si>
  <si>
    <t>USABILITY TEST PLAN · Participants</t>
  </si>
  <si>
    <t>Section A: Define screening criteria. Section B: Record recruited participant details.</t>
  </si>
  <si>
    <t>SECTION A · Desired Participant Profile &amp; Screening Criteria</t>
  </si>
  <si>
    <t>Target User Group</t>
  </si>
  <si>
    <t>Franco newcomers to Canada</t>
  </si>
  <si>
    <t>Age Range</t>
  </si>
  <si>
    <t>18-40</t>
  </si>
  <si>
    <t>Tech Proficiency</t>
  </si>
  <si>
    <t>Mix</t>
  </si>
  <si>
    <t>Device Requirement</t>
  </si>
  <si>
    <t>Half mobile, half desk</t>
  </si>
  <si>
    <t>Language</t>
  </si>
  <si>
    <t>French speakers</t>
  </si>
  <si>
    <t>Location</t>
  </si>
  <si>
    <t xml:space="preserve">Mix of inside and outside of Canada (split multiple tests) </t>
  </si>
  <si>
    <t>Exclusion Criteria</t>
  </si>
  <si>
    <t>None for now</t>
  </si>
  <si>
    <t>Sample Size</t>
  </si>
  <si>
    <t>12 total: 6 mob, 6 mob. Possibly subidivide between inside and outside Canada</t>
  </si>
  <si>
    <t>Incentive</t>
  </si>
  <si>
    <t>Handled by UL</t>
  </si>
  <si>
    <t>SECTION B · Recruited Participant Details</t>
  </si>
  <si>
    <t>P #</t>
  </si>
  <si>
    <t>Name / Code</t>
  </si>
  <si>
    <t>Age</t>
  </si>
  <si>
    <t>Country</t>
  </si>
  <si>
    <t>Device Type</t>
  </si>
  <si>
    <t>OS</t>
  </si>
  <si>
    <t>Recruited By</t>
  </si>
  <si>
    <t>Session Date &amp; Time</t>
  </si>
  <si>
    <t>Notes</t>
  </si>
  <si>
    <t>P01</t>
  </si>
  <si>
    <t>P02</t>
  </si>
  <si>
    <t>P03</t>
  </si>
  <si>
    <t>P04</t>
  </si>
  <si>
    <t>P05</t>
  </si>
  <si>
    <t>P06</t>
  </si>
  <si>
    <t>P07</t>
  </si>
  <si>
    <t>P08</t>
  </si>
  <si>
    <t>P09</t>
  </si>
  <si>
    <t>P10</t>
  </si>
  <si>
    <t>P11</t>
  </si>
  <si>
    <t>USABILITY TEST PLAN · Session Data</t>
  </si>
  <si>
    <t>Record each participant's performance per task. Use the Success Code dropdown for outcome classification.</t>
  </si>
  <si>
    <t>TASK 1</t>
  </si>
  <si>
    <t>TASK 2</t>
  </si>
  <si>
    <t>TASK 3</t>
  </si>
  <si>
    <t>TASK 4</t>
  </si>
  <si>
    <t>TASK 5</t>
  </si>
  <si>
    <t>Time
on Task</t>
  </si>
  <si>
    <t>Success
Code</t>
  </si>
  <si>
    <t>Observations / Notes</t>
  </si>
  <si>
    <t>P12</t>
  </si>
  <si>
    <t>P13</t>
  </si>
  <si>
    <t>P14</t>
  </si>
  <si>
    <t>P15</t>
  </si>
  <si>
    <t>SUCCESS CODE LEGEND</t>
  </si>
  <si>
    <t>Participant completed the task fully and correctly within the time limit.</t>
  </si>
  <si>
    <t>Participant completed the task but with significant errors, help, or workarounds.</t>
  </si>
  <si>
    <t>Participant did not complete the task and gave an incorrect outcome.</t>
  </si>
  <si>
    <t>Participant ran out of time before completing the task.</t>
  </si>
  <si>
    <t>Participant abandoned the task of their own volition.</t>
  </si>
  <si>
    <t>Session interrupted by a technical problem unrelated to the participant.</t>
  </si>
  <si>
    <t>Does not fit any other category. Add details in Observations.</t>
  </si>
  <si>
    <t>USABILITY TEST PLAN · Analysis &amp; Recommendations</t>
  </si>
  <si>
    <t>Synthesize findings per task. Identify key issues, severity, and actionable recommendations.</t>
  </si>
  <si>
    <t>Analysis Dimension</t>
  </si>
  <si>
    <t>Key Usability Issues Observed</t>
  </si>
  <si>
    <t>List specific problems seen across participants.</t>
  </si>
  <si>
    <t>Frequency</t>
  </si>
  <si>
    <t>Severity</t>
  </si>
  <si>
    <t>Root Cause (Hypothesis)</t>
  </si>
  <si>
    <t>Supporting Quotes / Observations</t>
  </si>
  <si>
    <t>Recommendations</t>
  </si>
  <si>
    <t>Priority for Fix</t>
  </si>
  <si>
    <t>Effort Estimate</t>
  </si>
  <si>
    <t>Additional Notes</t>
  </si>
  <si>
    <t>SEVERITY RATING GUIDE</t>
  </si>
  <si>
    <t>Definition</t>
  </si>
  <si>
    <t>Frequency Threshold</t>
  </si>
  <si>
    <t>Recommended Action</t>
  </si>
  <si>
    <t>Critical</t>
  </si>
  <si>
    <t>Prevents task completion; user cannot proceed</t>
  </si>
  <si>
    <t>≥ 50% of participants</t>
  </si>
  <si>
    <t>Fix before launch</t>
  </si>
  <si>
    <t>Causes significant struggle; workaround is painful</t>
  </si>
  <si>
    <t>≥ 30% of participants</t>
  </si>
  <si>
    <t>Fix in next sprint</t>
  </si>
  <si>
    <t>Causes confusion or delay but task is completable</t>
  </si>
  <si>
    <t>≥ 20% of participants</t>
  </si>
  <si>
    <t>Schedule for roadmap</t>
  </si>
  <si>
    <t>Minor annoyance; cosmetic or edge-case issue</t>
  </si>
  <si>
    <t>&lt; 20% of participants</t>
  </si>
  <si>
    <t>Backlog / nice-to-have</t>
  </si>
  <si>
    <t xml:space="preserve">  HELP &amp; GUIDANCE  ·  Best Practices for Usability Testing</t>
  </si>
  <si>
    <t xml:space="preserve">  A reference guide for each phase of your usability test — practical tips and curated external reading.</t>
  </si>
  <si>
    <t xml:space="preserve">  All links open in your browser. Tip: use Ctrl+Click (Windows) or Cmd+Click (Mac) to follow hyperlinks in Excel.</t>
  </si>
  <si>
    <t xml:space="preserve">  Running an Effective Kickoff Meeting</t>
  </si>
  <si>
    <t xml:space="preserve">  Practical Guidelines</t>
  </si>
  <si>
    <t xml:space="preserve">  Further Reading</t>
  </si>
  <si>
    <t>1.  Start with the decision, not the feature
Before diving into tasks to test, anchor the whole conversation on what decision this testing will inform. If stakeholders can't name one, that is the first problem to solve.</t>
  </si>
  <si>
    <t>NNG: Stakeholder Buy-In for UX Research</t>
  </si>
  <si>
    <t>2.  Send questions in advance
Share the kickoff question list 48 hours early. Stakeholders arrive better prepared, meetings run shorter, and you get more considered answers rather than reactive ones.</t>
  </si>
  <si>
    <t>NNG: Research Learning Spirals</t>
  </si>
  <si>
    <t>3.  Surface disagreements early
If the room can't agree on the top priority research question, document both views rather than forcing false consensus. Unresolved disagreements surface during analysis — better to name them now.</t>
  </si>
  <si>
    <t>UX Collective: Aligning Stakeholders</t>
  </si>
  <si>
    <t>4.  Ask 'what would change your mind?'
For each goal, ask stakeholders what evidence would cause them to change course. This reveals which questions are genuinely open and which are fishing for validation.</t>
  </si>
  <si>
    <t>Maze: Research Ops Handbook</t>
  </si>
  <si>
    <t>5.  Clarify sign-off chains before you leave
Confirm who approves the screener, tasks, and final report — and in what order. A missing approval can delay fieldwork by weeks.</t>
  </si>
  <si>
    <t>ResearchOps Community</t>
  </si>
  <si>
    <t>6.  Record or take structured notes
Assign a dedicated note-taker so the facilitator can stay focused. Review notes within 24 hours while memory is fresh and send a summary back to stakeholders to confirm alignment.</t>
  </si>
  <si>
    <t>NNG: Documenting UX Research</t>
  </si>
  <si>
    <t xml:space="preserve">  Defining Effective Study Goals</t>
  </si>
  <si>
    <t>1.  Distinguish research goals from organizational goals
An organizational goal is 'reduce churn'. A research goal is 'understand why users abandon the onboarding flow after step 3'. Usability tests answer research questions, not organizational metrics directly.</t>
  </si>
  <si>
    <t>NNG: Research Questions vs. Business Goals</t>
  </si>
  <si>
    <t>2.  Limit yourself to 3-5 goals per study
More than five goals usually means the study is trying to do too much. Prioritise ruthlessly. A focused study with clear answers is worth far more than a sprawling one with ambiguous takeaways.</t>
  </si>
  <si>
    <t>Usability.gov: Planning a Usability Test</t>
  </si>
  <si>
    <t>3.  Write goals as questions, not statements
'Evaluate the checkout flow' is a topic. 'Can users complete a purchase without assistance in under 4 minutes?' is a testable goal. The question form forces you to think about what evidence you need.</t>
  </si>
  <si>
    <t>IxDF: Formulating UX Research Goals</t>
  </si>
  <si>
    <t>4.  Pair every goal with a measurement method
For each goal, define up front how you will know if it has been met — task success rate, time on task, error count, qualitative theme, or a scale score. Unmeasured goals are just intentions.</t>
  </si>
  <si>
    <t>NNG: Measuring Usability</t>
  </si>
  <si>
    <t>5.  Get stakeholder sign-off on goals before writing tasks
Goals drive task selection. If goals shift after tasks are written, you may have to rewrite the entire discussion guide. Locking goals early is the highest-leverage step in the planning phase.</t>
  </si>
  <si>
    <t>Dovetail: Customer Research Guide</t>
  </si>
  <si>
    <t xml:space="preserve">  Common mistake: writing goals that are really just a list of features to evaluate ('test the navigation, the search, and the filters'). Push back by asking: what decision will that information inform?</t>
  </si>
  <si>
    <t xml:space="preserve">  Writing Strong Test Tasks</t>
  </si>
  <si>
    <t>1.  Use scenario framing, not instructions
Instead of 'Click on the profile menu and change your name', write 'You have just moved. Please update your account to reflect your new address.' Scenarios activate realistic mental models.</t>
  </si>
  <si>
    <t>NNG: Writing Usability Test Tasks</t>
  </si>
  <si>
    <t>2.  Never embed the answer in the task
Avoid using the exact UI label in the task wording. If the button says 'Create an account, don't write 'Find a way to create a new account'. This tests recognition, not usability.</t>
  </si>
  <si>
    <t>NNG: Priming in Usability Testing</t>
  </si>
  <si>
    <t>3.  Make tasks realistic and specific
Vague tasks ('explore the site') produce vague data. Ground each task in a concrete goal a real user would have: a program to find, an amount to enter, a form to submit.</t>
  </si>
  <si>
    <t>Usability.gov: Task Development</t>
  </si>
  <si>
    <t>4.  Pilot every task before fieldwork
Run each task with one internal colleague who matches the participant profile. You will immediately find ambiguous wording, missing pre-conditions, and tasks that are too long.</t>
  </si>
  <si>
    <t>NNG: Pilot Testing</t>
  </si>
  <si>
    <t>5.  Set a realistic time limit per task
Time limits keep sessions on schedule and provide a natural stopping condition. A common rule of thumb: if a task takes longer than 5 minutes in a pilot, either simplify it or split it in two.</t>
  </si>
  <si>
    <t>Maze: Usability Test Structure</t>
  </si>
  <si>
    <t>6.  Sequence tasks to mirror real user journeys
Where possible, order tasks so they follow a logical progression (e.g., search then view then purchase). Artificial task sequences can confuse participants and create carry-over effects.</t>
  </si>
  <si>
    <t>IxDF: Test Task Sequencing</t>
  </si>
  <si>
    <t xml:space="preserve">  Recruitment &amp; Participant Selection</t>
  </si>
  <si>
    <t>1.  Define screener criteria from your testing goals
Work backwards from your goals: what must be true about a participant for their data to be valid? List must-haves (e.g., active smartphone user) and nice-to-haves separately to avoid over-constraining recruitment.</t>
  </si>
  <si>
    <t>NNG: Recruiting Usability Participants</t>
  </si>
  <si>
    <t>2.  5 participants reveal ~85% of usability issues
Nielsen's original finding still holds for qualitative discovery studies. For quantitative benchmarking or multiple distinct user groups, sample sizes of 20+ are more appropriate.</t>
  </si>
  <si>
    <t>NNG: How Many Test Users?</t>
  </si>
  <si>
    <t>3.  Recruit 20% more participants than you need
No-shows, late cancellations, and disqualifications are common. Buffer your recruitment target accordingly. For 10 sessions, recruit at least 12 and confirm the day before.</t>
  </si>
  <si>
    <t>UserZoom: Recruiting for Research</t>
  </si>
  <si>
    <t>4.  Spread sessions across different times of day
If recruiting working professionals, morning-only slots will bias your sample toward certain roles. Offer morning, midday, and afternoon options to maximise diversity.</t>
  </si>
  <si>
    <t>Dovetail: Recruitment Best Practices</t>
  </si>
  <si>
    <t>5.  Avoid friends, family, and colleagues
People who know the product team are less likely to give candid feedback and more likely to be forgiving of issues. Use external panels, CRM outreach, or intercept recruiting instead.</t>
  </si>
  <si>
    <t>NNG: Participant Selection</t>
  </si>
  <si>
    <t>6.  Document no-shows and replacements
Track who was recruited, who attended, and why anyone was excluded. This data protects you if stakeholders later question the representativeness of your sample.</t>
  </si>
  <si>
    <t>ResearchOps: Participant Management</t>
  </si>
  <si>
    <t xml:space="preserve">  Screener design tip: include one or two disqualifying questions that participants cannot easily game. For example, instead of asking 'Do you shop online?' (everyone says yes), ask how many online purchases they made in the last month.</t>
  </si>
  <si>
    <t xml:space="preserve">  Collecting &amp; Recording Session Data</t>
  </si>
  <si>
    <t xml:space="preserve">  Corresponds to: Data tab</t>
  </si>
  <si>
    <t>1.  Use the success codes consistently across all sessions
Brief all observers before the first session on exactly what constitutes Success vs. Partial Fail vs. Give Up. Inconsistent coding makes cross-participant comparisons unreliable.</t>
  </si>
  <si>
    <t>NNG: Scoring Usability Tests</t>
  </si>
  <si>
    <t>2.  Capture observations in real time, not from memory
Note verbatim quotes, specific UI elements that caused confusion, and exact moments of hesitation. Reconstructed notes written after the session lose the critical details.</t>
  </si>
  <si>
    <t>NNG: Note-taking During Testing</t>
  </si>
  <si>
    <t>3.  Record time-on-task from task read to final action
Start the clock when the participant finishes reading the task aloud (not when you finish reading it to them). Stop the clock at the moment of completion or abandonment.</t>
  </si>
  <si>
    <t>Usability.gov: Time on Task</t>
  </si>
  <si>
    <t>4.  Assign separate observers for note-taking and tech
The session facilitator should never also be managing the recording software. A second person handling logistics lets the facilitator stay fully present in the conversation.</t>
  </si>
  <si>
    <t>NNG: Observers in Usability Studies</t>
  </si>
  <si>
    <t>5.  Log technical issues immediately as they happen
Use the 'Technical Issues' code and note the exact symptom in Observations. A pattern of technical issues across participants may indicate a prototype bug or environmental problem, not a user error.</t>
  </si>
  <si>
    <t>Maze: Remote Testing Setup</t>
  </si>
  <si>
    <t>6.  Debrief observers after each session
A 5-minute debrief immediately after each session lets the team align on key observations while memory is fresh. This also prevents one vocal observer from dominating synthesis.</t>
  </si>
  <si>
    <t>NNG: Debrief Sessions</t>
  </si>
  <si>
    <t xml:space="preserve">  A note on 'Partial Fail': resist the temptation to be generous with this code. If the participant completed the task but required more than two redirects, significant backtracking, or help from the facilitator, that is a meaningful finding — not a partial success.</t>
  </si>
  <si>
    <t xml:space="preserve">  Analysing &amp; Synthesising Findings</t>
  </si>
  <si>
    <t xml:space="preserve">  Corresponds to: Analysis tab</t>
  </si>
  <si>
    <t>1.  Use affinity diagramming to cluster observations
After sessions end, write each observation on a separate sticky note (physical or digital) and cluster them by theme. Patterns that emerge from the data are more credible than patterns you went looking for.</t>
  </si>
  <si>
    <t>NNG: Affinity Diagramming</t>
  </si>
  <si>
    <t>2.  Calculate task success rate as your headline metric
Success rate = (number of successful completions) / (total attempts). Report it per task and overall. Even stakeholders unfamiliar with UX research immediately understand a percentage.</t>
  </si>
  <si>
    <t>NNG: Success Rate Metrics</t>
  </si>
  <si>
    <t>3.  Rate severity before prioritising recommendations
Use the four-point severity scale (Critical / High / Medium / Low) defined in this tab. Issues that block task completion are always Critical regardless of how infrequently they occur.</t>
  </si>
  <si>
    <t>NNG: Severity Ratings</t>
  </si>
  <si>
    <t>4.  Separate observation from inference
In your notes, clearly distinguish what you observed ('participant clicked the wrong button three times') from what you infer ('the icon is ambiguous'). Both are valuable but should not be conflated.</t>
  </si>
  <si>
    <t>IxDF: Usability Analysis Methods</t>
  </si>
  <si>
    <t>5.  Invite stakeholders into synthesis, not just readout
An analysis workshop where product and design team members help cluster findings produces stronger buy-in than a polished report delivered cold. People support findings they helped discover.</t>
  </si>
  <si>
    <t>NNG: Collaborative Analysis</t>
  </si>
  <si>
    <t>6.  Tie every recommendation to a specific observation
Every 'we recommend X' should reference 'because we observed Y in N/10 sessions'. Unanchored recommendations feel like opinions; anchored ones feel like evidence.</t>
  </si>
  <si>
    <t>Dovetail: Communicating Research</t>
  </si>
  <si>
    <t xml:space="preserve">  Avoid the 'laundry list' report — a 40-item issue log where everything is Medium severity. Stakeholders cannot act on everything at once. Force a ranking: what are the three issues that, if fixed, would most improve task success rates?</t>
  </si>
  <si>
    <t xml:space="preserve">  Reporting &amp; Presenting Findings</t>
  </si>
  <si>
    <t xml:space="preserve">  Corresponds to: Summary / Dashboard tab</t>
  </si>
  <si>
    <t>1.  Lead with the decision, not the methodology
Stakeholders care about what to do next. Open with your top three findings and recommendations. Save sample size, session format, and task design for the appendix.</t>
  </si>
  <si>
    <t>NNG: Communicating Research Findings</t>
  </si>
  <si>
    <t>2.  Show, don't just tell — use session clips
A 60-second video clip of a participant struggling with a flow is more persuasive than any bar chart. Obtain consent during recruitment and keep a library of clipped moments.</t>
  </si>
  <si>
    <t>NNG: Highlight Reels</t>
  </si>
  <si>
    <t>3.  Distinguish findings from recommendations
A finding is neutral: 'Seven of ten participants could not locate the settings menu.' A recommendation is actionable: 'Move settings into the main navigation bar.' Mixing them muddies both.</t>
  </si>
  <si>
    <t>UX Collective: Writing Research Reports</t>
  </si>
  <si>
    <t>4.  Include a one-page executive summary
Senior stakeholders may not read the full report. A single page with overall success rate, the top three issues, and the top three recommendations ensures the most important information gets through.</t>
  </si>
  <si>
    <t>NNG: Executive Summaries for Research</t>
  </si>
  <si>
    <t>5.  Track findings in a research repository
Log findings with tags for product area, participant type, and date. Over time, a repository reveals patterns across multiple studies and prevents the same issues from being 'discovered' repeatedly.</t>
  </si>
  <si>
    <t>Dovetail: Building a Research Repository</t>
  </si>
  <si>
    <t>6.  Close the loop with a follow-up check-in
Schedule a 30-minute check-in 4-6 weeks after the report is delivered to review which recommendations were implemented. This builds accountability and makes the case for continued investment in research.</t>
  </si>
  <si>
    <t xml:space="preserve">  A practical delivery format: share the written report 48 hours before the readout meeting so stakeholders can read it in advance. Use the meeting itself for discussion and prioritisation, not for walking through slides line by line.</t>
  </si>
  <si>
    <t xml:space="preserve">  General Usability Testing Resources</t>
  </si>
  <si>
    <t xml:space="preserve">  Curated references to deepen your practice</t>
  </si>
  <si>
    <t xml:space="preserve">  Resource</t>
  </si>
  <si>
    <t xml:space="preserve">  What It Covers</t>
  </si>
  <si>
    <t>The most comprehensive freely available resource on usability testing. Search any specific topic — screener writing, task design, analysis, reporting — and you will find a rigorous, evidence-based article.</t>
  </si>
  <si>
    <t>Nielsen Norman Group (nngroup.com)</t>
  </si>
  <si>
    <t>US government-produced guidance covering the full usability testing lifecycle. Practical, jargon-free, and well-structured for practitioners at any level.</t>
  </si>
  <si>
    <t>Usability.gov — How-To &amp; Tools</t>
  </si>
  <si>
    <t>Encyclopaedic coverage of usability testing concepts, with free and paid courses. Good for building foundational literacy across a team.</t>
  </si>
  <si>
    <t>Interaction Design Foundation — Usability Testing</t>
  </si>
  <si>
    <t>Practical, modern guides covering remote and unmoderated testing, analysis, and research operations. Especially useful if you are running tests at scale.</t>
  </si>
  <si>
    <t>Maze Research Hub</t>
  </si>
  <si>
    <t>A practical handbook covering research planning, recruitment, facilitation, synthesis, and reporting. Well-suited as a day-to-day reference.</t>
  </si>
  <si>
    <t>Dovetail UX Research Field Guide</t>
  </si>
  <si>
    <t>The definitive practical book on DIY usability testing. Essential reading for researchers who run their own studies. Short, actionable, and genuinely funny.</t>
  </si>
  <si>
    <t>Steve Krug — Rocket Surgery Made Easy</t>
  </si>
  <si>
    <t>Global community focused on the operational side of research — recruitment panels, consent frameworks, tooling, repositories, and making research scale inside organisations.</t>
  </si>
  <si>
    <t>The original 10-item post-study questionnaire. Free to use, widely benchmarked, and gives you a single comparable score. Scores above 68 are considered above average.</t>
  </si>
  <si>
    <t>System Usability Scale (SUS) — Brooke 1996</t>
  </si>
  <si>
    <t>A single 7-point question asked after each task ('How difficult or easy was this task?'). Quick to administer and correlates well with task performance data.</t>
  </si>
  <si>
    <t>Single Ease Question (SEQ) — NNG</t>
  </si>
  <si>
    <t>If accessibility is in scope, these are the international standards your product should be tested against. Consider including at least one participant who uses assistive technology.</t>
  </si>
  <si>
    <t>WCAG 2.2 Accessibility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</si>
</sst>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charset val="1"/>
    </font>
    <font>
      <b/>
      <sz val="16"/>
      <color rgb="FFFFFFFF"/>
      <name val="Arial"/>
      <charset val="1"/>
    </font>
    <font>
      <i/>
      <sz val="10"/>
      <color rgb="FF555555"/>
      <name val="Arial"/>
      <charset val="1"/>
    </font>
    <font>
      <b/>
      <sz val="10"/>
      <color rgb="FFFFFFFF"/>
      <name val="Arial"/>
      <charset val="1"/>
    </font>
    <font>
      <b/>
      <sz val="11"/>
      <color rgb="FFFFFFFF"/>
      <name val="Arial"/>
      <charset val="1"/>
    </font>
    <font>
      <b/>
      <sz val="12"/>
      <color rgb="FF1A5276"/>
      <name val="Arial"/>
      <charset val="1"/>
    </font>
    <font>
      <sz val="10"/>
      <color rgb="FF1A1A1A"/>
      <name val="Arial"/>
      <charset val="1"/>
    </font>
    <font>
      <b/>
      <sz val="12"/>
      <color rgb="FF145A32"/>
      <name val="Arial"/>
      <charset val="1"/>
    </font>
    <font>
      <b/>
      <sz val="12"/>
      <color rgb="FF6E2FA0"/>
      <name val="Arial"/>
      <charset val="1"/>
    </font>
    <font>
      <b/>
      <sz val="12"/>
      <color rgb="FF7D6608"/>
      <name val="Arial"/>
      <charset val="1"/>
    </font>
    <font>
      <b/>
      <sz val="12"/>
      <color rgb="FF784212"/>
      <name val="Arial"/>
      <charset val="1"/>
    </font>
    <font>
      <i/>
      <sz val="9"/>
      <color rgb="FF555555"/>
      <name val="Arial"/>
      <charset val="1"/>
    </font>
    <font>
      <b/>
      <sz val="10"/>
      <color rgb="FF1B2A4A"/>
      <name val="Arial"/>
      <charset val="1"/>
    </font>
    <font>
      <sz val="10"/>
      <color rgb="FF555555"/>
      <name val="Arial"/>
      <charset val="1"/>
    </font>
    <font>
      <b/>
      <sz val="11"/>
      <color rgb="FF276221"/>
      <name val="Arial"/>
      <charset val="1"/>
    </font>
    <font>
      <b/>
      <sz val="12"/>
      <color rgb="FF276221"/>
      <name val="Arial"/>
      <charset val="1"/>
    </font>
    <font>
      <b/>
      <sz val="9"/>
      <color rgb="FF276221"/>
      <name val="Arial"/>
      <charset val="1"/>
    </font>
    <font>
      <sz val="9"/>
      <color rgb="FF555555"/>
      <name val="Arial"/>
      <charset val="1"/>
    </font>
    <font>
      <b/>
      <sz val="9"/>
      <color rgb="FF9C6500"/>
      <name val="Arial"/>
      <charset val="1"/>
    </font>
    <font>
      <b/>
      <sz val="9"/>
      <color rgb="FF9C0006"/>
      <name val="Arial"/>
      <charset val="1"/>
    </font>
    <font>
      <b/>
      <sz val="9"/>
      <color rgb="FF8B4513"/>
      <name val="Arial"/>
      <charset val="1"/>
    </font>
    <font>
      <b/>
      <sz val="9"/>
      <color rgb="FF6B2FA0"/>
      <name val="Arial"/>
      <charset val="1"/>
    </font>
    <font>
      <b/>
      <sz val="9"/>
      <color rgb="FF444444"/>
      <name val="Arial"/>
      <charset val="1"/>
    </font>
    <font>
      <b/>
      <sz val="9"/>
      <color rgb="FF1A7A6E"/>
      <name val="Arial"/>
      <charset val="1"/>
    </font>
    <font>
      <i/>
      <sz val="9"/>
      <color rgb="FFAAAAAA"/>
      <name val="Arial"/>
      <charset val="1"/>
    </font>
    <font>
      <b/>
      <sz val="10"/>
      <color rgb="FF9C0006"/>
      <name val="Arial"/>
      <charset val="1"/>
    </font>
    <font>
      <b/>
      <sz val="10"/>
      <color rgb="FF8B4513"/>
      <name val="Arial"/>
      <charset val="1"/>
    </font>
    <font>
      <b/>
      <sz val="10"/>
      <color rgb="FF9C6500"/>
      <name val="Arial"/>
      <charset val="1"/>
    </font>
    <font>
      <b/>
      <sz val="10"/>
      <color rgb="FF276221"/>
      <name val="Arial"/>
      <charset val="1"/>
    </font>
    <font>
      <b/>
      <sz val="13"/>
      <color rgb="FFFFFFFF"/>
      <name val="Arial"/>
      <charset val="1"/>
    </font>
    <font>
      <i/>
      <sz val="10"/>
      <color rgb="FFFFFFFF"/>
      <name val="Arial"/>
      <charset val="1"/>
    </font>
    <font>
      <u/>
      <sz val="10"/>
      <color rgb="FF1155CC"/>
      <name val="Arial"/>
      <charset val="1"/>
    </font>
    <font>
      <u/>
      <sz val="11"/>
      <color theme="10"/>
      <name val="Calibri"/>
      <family val="2"/>
      <charset val="1"/>
    </font>
    <font>
      <sz val="11"/>
      <color rgb="FF000000"/>
      <name val="Calibri"/>
    </font>
    <font>
      <b/>
      <sz val="11"/>
      <color rgb="FF000000"/>
      <name val="Calibri"/>
    </font>
    <font>
      <b/>
      <sz val="10"/>
      <color rgb="FF555555"/>
      <name val="Arial"/>
    </font>
    <font>
      <sz val="10"/>
      <color rgb="FF555555"/>
      <name val="Arial"/>
    </font>
  </fonts>
  <fills count="39">
    <fill>
      <patternFill patternType="none"/>
    </fill>
    <fill>
      <patternFill patternType="gray125"/>
    </fill>
    <fill>
      <patternFill patternType="solid">
        <fgColor rgb="FF1B2A4A"/>
        <bgColor rgb="FF1A3A5C"/>
      </patternFill>
    </fill>
    <fill>
      <patternFill patternType="solid">
        <fgColor rgb="FFEEF4FC"/>
        <bgColor rgb="FFE8ECF0"/>
      </patternFill>
    </fill>
    <fill>
      <patternFill patternType="solid">
        <fgColor rgb="FF2E5DA6"/>
        <bgColor rgb="FF1F618D"/>
      </patternFill>
    </fill>
    <fill>
      <patternFill patternType="solid">
        <fgColor rgb="FF1A5276"/>
        <bgColor rgb="FF1F618D"/>
      </patternFill>
    </fill>
    <fill>
      <patternFill patternType="solid">
        <fgColor rgb="FFD6EAF8"/>
        <bgColor rgb="FFD6E4F7"/>
      </patternFill>
    </fill>
    <fill>
      <patternFill patternType="solid">
        <fgColor rgb="FFFFFFFF"/>
        <bgColor rgb="FFFEF9E7"/>
      </patternFill>
    </fill>
    <fill>
      <patternFill patternType="solid">
        <fgColor rgb="FF145A32"/>
        <bgColor rgb="FF276221"/>
      </patternFill>
    </fill>
    <fill>
      <patternFill patternType="solid">
        <fgColor rgb="FFD5F5E3"/>
        <bgColor rgb="FFD5F5F1"/>
      </patternFill>
    </fill>
    <fill>
      <patternFill patternType="solid">
        <fgColor rgb="FF6E2FA0"/>
        <bgColor rgb="FF6B2FA0"/>
      </patternFill>
    </fill>
    <fill>
      <patternFill patternType="solid">
        <fgColor rgb="FFF0E6FA"/>
        <bgColor rgb="FFE8ECF0"/>
      </patternFill>
    </fill>
    <fill>
      <patternFill patternType="solid">
        <fgColor rgb="FF7D6608"/>
        <bgColor rgb="FF9C6500"/>
      </patternFill>
    </fill>
    <fill>
      <patternFill patternType="solid">
        <fgColor rgb="FFFEF9E7"/>
        <bgColor rgb="FFFFFFFF"/>
      </patternFill>
    </fill>
    <fill>
      <patternFill patternType="solid">
        <fgColor rgb="FF784212"/>
        <bgColor rgb="FF8B4513"/>
      </patternFill>
    </fill>
    <fill>
      <patternFill patternType="solid">
        <fgColor rgb="FFFDEBD0"/>
        <bgColor rgb="FFFDEDEC"/>
      </patternFill>
    </fill>
    <fill>
      <patternFill patternType="solid">
        <fgColor rgb="FF7B241C"/>
        <bgColor rgb="FF784212"/>
      </patternFill>
    </fill>
    <fill>
      <patternFill patternType="solid">
        <fgColor rgb="FFFDEDEC"/>
        <bgColor rgb="FFFEF9E7"/>
      </patternFill>
    </fill>
    <fill>
      <patternFill patternType="solid">
        <fgColor rgb="FF1F618D"/>
        <bgColor rgb="FF2E5DA6"/>
      </patternFill>
    </fill>
    <fill>
      <patternFill patternType="solid">
        <fgColor rgb="FF2874A6"/>
        <bgColor rgb="FF2E86C1"/>
      </patternFill>
    </fill>
    <fill>
      <patternFill patternType="solid">
        <fgColor rgb="FF2E86C1"/>
        <bgColor rgb="FF3498DB"/>
      </patternFill>
    </fill>
    <fill>
      <patternFill patternType="solid">
        <fgColor rgb="FF3498DB"/>
        <bgColor rgb="FF2E86C1"/>
      </patternFill>
    </fill>
    <fill>
      <patternFill patternType="solid">
        <fgColor rgb="FFD6E4F7"/>
        <bgColor rgb="FFD6EAF8"/>
      </patternFill>
    </fill>
    <fill>
      <patternFill patternType="solid">
        <fgColor rgb="FFC6EFCE"/>
        <bgColor rgb="FFD5F5E3"/>
      </patternFill>
    </fill>
    <fill>
      <patternFill patternType="solid">
        <fgColor rgb="FFFFEB9C"/>
        <bgColor rgb="FFFFDAB9"/>
      </patternFill>
    </fill>
    <fill>
      <patternFill patternType="solid">
        <fgColor rgb="FFFFC7CE"/>
        <bgColor rgb="FFFFDAB9"/>
      </patternFill>
    </fill>
    <fill>
      <patternFill patternType="solid">
        <fgColor rgb="FFFFDAB9"/>
        <bgColor rgb="FFFDEBD0"/>
      </patternFill>
    </fill>
    <fill>
      <patternFill patternType="solid">
        <fgColor rgb="FFE8D5F5"/>
        <bgColor rgb="FFE2E2E2"/>
      </patternFill>
    </fill>
    <fill>
      <patternFill patternType="solid">
        <fgColor rgb="FFE2E2E2"/>
        <bgColor rgb="FFE8ECF0"/>
      </patternFill>
    </fill>
    <fill>
      <patternFill patternType="solid">
        <fgColor rgb="FFD5F5F1"/>
        <bgColor rgb="FFD5F5E3"/>
      </patternFill>
    </fill>
    <fill>
      <patternFill patternType="solid">
        <fgColor rgb="FF1A3A5C"/>
        <bgColor rgb="FF2E4057"/>
      </patternFill>
    </fill>
    <fill>
      <patternFill patternType="solid">
        <fgColor rgb="FFAED6F1"/>
        <bgColor rgb="FFA9DFBF"/>
      </patternFill>
    </fill>
    <fill>
      <patternFill patternType="solid">
        <fgColor rgb="FFA9DFBF"/>
        <bgColor rgb="FFAED6F1"/>
      </patternFill>
    </fill>
    <fill>
      <patternFill patternType="solid">
        <fgColor rgb="FFD7BDE2"/>
        <bgColor rgb="FFCCCCCC"/>
      </patternFill>
    </fill>
    <fill>
      <patternFill patternType="solid">
        <fgColor rgb="FFF0B27A"/>
        <bgColor rgb="FFF1948A"/>
      </patternFill>
    </fill>
    <fill>
      <patternFill patternType="solid">
        <fgColor rgb="FFF1948A"/>
        <bgColor rgb="FFF0B27A"/>
      </patternFill>
    </fill>
    <fill>
      <patternFill patternType="solid">
        <fgColor rgb="FF2E4057"/>
        <bgColor rgb="FF1A3A5C"/>
      </patternFill>
    </fill>
    <fill>
      <patternFill patternType="solid">
        <fgColor rgb="FFB2BEC3"/>
        <bgColor rgb="FFAAAAAA"/>
      </patternFill>
    </fill>
    <fill>
      <patternFill patternType="solid">
        <fgColor rgb="FFE8ECF0"/>
        <bgColor rgb="FFF0E6FA"/>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1A5276"/>
      </left>
      <right/>
      <top style="thin">
        <color rgb="FFCCCCCC"/>
      </top>
      <bottom style="thin">
        <color rgb="FFCCCCCC"/>
      </bottom>
      <diagonal/>
    </border>
    <border>
      <left style="thin">
        <color rgb="FF145A32"/>
      </left>
      <right/>
      <top style="thin">
        <color rgb="FFCCCCCC"/>
      </top>
      <bottom style="thin">
        <color rgb="FFCCCCCC"/>
      </bottom>
      <diagonal/>
    </border>
    <border>
      <left style="thin">
        <color rgb="FF6E2FA0"/>
      </left>
      <right/>
      <top style="thin">
        <color rgb="FFCCCCCC"/>
      </top>
      <bottom style="thin">
        <color rgb="FFCCCCCC"/>
      </bottom>
      <diagonal/>
    </border>
    <border>
      <left style="thin">
        <color rgb="FF7D6608"/>
      </left>
      <right/>
      <top style="thin">
        <color rgb="FFCCCCCC"/>
      </top>
      <bottom style="thin">
        <color rgb="FFCCCCCC"/>
      </bottom>
      <diagonal/>
    </border>
    <border>
      <left style="thin">
        <color rgb="FF784212"/>
      </left>
      <right/>
      <top style="thin">
        <color rgb="FFCCCCCC"/>
      </top>
      <bottom style="thin">
        <color rgb="FFCCCCCC"/>
      </bottom>
      <diagonal/>
    </border>
    <border>
      <left/>
      <right/>
      <top style="thin">
        <color rgb="FFCCCCCC"/>
      </top>
      <bottom style="thin">
        <color rgb="FFCCCCCC"/>
      </bottom>
      <diagonal/>
    </border>
  </borders>
  <cellStyleXfs count="2">
    <xf numFmtId="0" fontId="0" fillId="0" borderId="0"/>
    <xf numFmtId="0" fontId="32" fillId="0" borderId="0" applyNumberFormat="0" applyFill="0" applyBorder="0" applyAlignment="0" applyProtection="0"/>
  </cellStyleXfs>
  <cellXfs count="110">
    <xf numFmtId="0" fontId="0" fillId="0" borderId="0" xfId="0"/>
    <xf numFmtId="0" fontId="13" fillId="3" borderId="2" xfId="0" applyFont="1" applyFill="1" applyBorder="1" applyAlignment="1">
      <alignment horizontal="left" vertical="top" wrapText="1"/>
    </xf>
    <xf numFmtId="0" fontId="3" fillId="4" borderId="1" xfId="0" applyFont="1" applyFill="1" applyBorder="1" applyAlignment="1">
      <alignment horizontal="left" vertical="center" indent="1"/>
    </xf>
    <xf numFmtId="0" fontId="5" fillId="6" borderId="3" xfId="0" applyFont="1" applyFill="1" applyBorder="1" applyAlignment="1">
      <alignment horizontal="center" vertical="top"/>
    </xf>
    <xf numFmtId="0" fontId="6" fillId="6" borderId="1" xfId="0" applyFont="1" applyFill="1" applyBorder="1" applyAlignment="1">
      <alignment horizontal="left" vertical="top" wrapText="1" indent="1"/>
    </xf>
    <xf numFmtId="0" fontId="0" fillId="7" borderId="1" xfId="0" applyFill="1" applyBorder="1" applyAlignment="1">
      <alignment horizontal="left" vertical="top" wrapText="1" indent="1"/>
    </xf>
    <xf numFmtId="0" fontId="5" fillId="7" borderId="3" xfId="0" applyFont="1" applyFill="1" applyBorder="1" applyAlignment="1">
      <alignment horizontal="center" vertical="top"/>
    </xf>
    <xf numFmtId="0" fontId="6" fillId="7" borderId="1" xfId="0" applyFont="1" applyFill="1" applyBorder="1" applyAlignment="1">
      <alignment horizontal="left" vertical="top" wrapText="1" indent="1"/>
    </xf>
    <xf numFmtId="0" fontId="0" fillId="7" borderId="0" xfId="0" applyFill="1"/>
    <xf numFmtId="0" fontId="7" fillId="9" borderId="4" xfId="0" applyFont="1" applyFill="1" applyBorder="1" applyAlignment="1">
      <alignment horizontal="center" vertical="top"/>
    </xf>
    <xf numFmtId="0" fontId="6" fillId="9" borderId="1" xfId="0" applyFont="1" applyFill="1" applyBorder="1" applyAlignment="1">
      <alignment horizontal="left" vertical="top" wrapText="1" indent="1"/>
    </xf>
    <xf numFmtId="0" fontId="7" fillId="7" borderId="4" xfId="0" applyFont="1" applyFill="1" applyBorder="1" applyAlignment="1">
      <alignment horizontal="center" vertical="top"/>
    </xf>
    <xf numFmtId="0" fontId="8" fillId="11" borderId="5" xfId="0" applyFont="1" applyFill="1" applyBorder="1" applyAlignment="1">
      <alignment horizontal="center" vertical="top"/>
    </xf>
    <xf numFmtId="0" fontId="6" fillId="11" borderId="1" xfId="0" applyFont="1" applyFill="1" applyBorder="1" applyAlignment="1">
      <alignment horizontal="left" vertical="top" wrapText="1" indent="1"/>
    </xf>
    <xf numFmtId="0" fontId="8" fillId="7" borderId="5" xfId="0" applyFont="1" applyFill="1" applyBorder="1" applyAlignment="1">
      <alignment horizontal="center" vertical="top"/>
    </xf>
    <xf numFmtId="0" fontId="9" fillId="13" borderId="6" xfId="0" applyFont="1" applyFill="1" applyBorder="1" applyAlignment="1">
      <alignment horizontal="center" vertical="top"/>
    </xf>
    <xf numFmtId="0" fontId="6" fillId="13" borderId="1" xfId="0" applyFont="1" applyFill="1" applyBorder="1" applyAlignment="1">
      <alignment horizontal="left" vertical="top" wrapText="1" indent="1"/>
    </xf>
    <xf numFmtId="0" fontId="9" fillId="7" borderId="6" xfId="0" applyFont="1" applyFill="1" applyBorder="1" applyAlignment="1">
      <alignment horizontal="center" vertical="top"/>
    </xf>
    <xf numFmtId="0" fontId="10" fillId="15" borderId="7" xfId="0" applyFont="1" applyFill="1" applyBorder="1" applyAlignment="1">
      <alignment horizontal="center" vertical="top"/>
    </xf>
    <xf numFmtId="0" fontId="6" fillId="15" borderId="1" xfId="0" applyFont="1" applyFill="1" applyBorder="1" applyAlignment="1">
      <alignment horizontal="left" vertical="top" wrapText="1" indent="1"/>
    </xf>
    <xf numFmtId="0" fontId="10" fillId="7" borderId="7" xfId="0" applyFont="1" applyFill="1" applyBorder="1" applyAlignment="1">
      <alignment horizontal="center" vertical="top"/>
    </xf>
    <xf numFmtId="0" fontId="6" fillId="17" borderId="1" xfId="0" applyFont="1" applyFill="1" applyBorder="1" applyAlignment="1">
      <alignment horizontal="left" vertical="top" wrapText="1"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2" fillId="22" borderId="1" xfId="0" applyFont="1" applyFill="1" applyBorder="1" applyAlignment="1">
      <alignment horizontal="left" vertical="center" wrapText="1"/>
    </xf>
    <xf numFmtId="0" fontId="13" fillId="7" borderId="1" xfId="0" applyFont="1" applyFill="1" applyBorder="1" applyAlignment="1">
      <alignment horizontal="center" vertical="center"/>
    </xf>
    <xf numFmtId="0" fontId="13" fillId="3" borderId="1" xfId="0" applyFont="1" applyFill="1" applyBorder="1" applyAlignment="1">
      <alignment horizontal="center" vertical="center"/>
    </xf>
    <xf numFmtId="9" fontId="14" fillId="23" borderId="1" xfId="0" applyNumberFormat="1" applyFont="1" applyFill="1" applyBorder="1" applyAlignment="1">
      <alignment horizontal="center" vertical="center"/>
    </xf>
    <xf numFmtId="0" fontId="13" fillId="3" borderId="1" xfId="0" applyFont="1" applyFill="1" applyBorder="1" applyAlignment="1">
      <alignment horizontal="center" vertical="top" wrapText="1"/>
    </xf>
    <xf numFmtId="0" fontId="13" fillId="3" borderId="1" xfId="0" applyFont="1" applyFill="1" applyBorder="1" applyAlignment="1">
      <alignment horizontal="left" vertical="top" wrapText="1"/>
    </xf>
    <xf numFmtId="0" fontId="13" fillId="7" borderId="1" xfId="0" applyFont="1" applyFill="1" applyBorder="1" applyAlignment="1">
      <alignment horizontal="center" vertical="top" wrapText="1"/>
    </xf>
    <xf numFmtId="0" fontId="13" fillId="7" borderId="1" xfId="0" applyFont="1" applyFill="1" applyBorder="1" applyAlignment="1">
      <alignment horizontal="left" vertical="top" wrapText="1"/>
    </xf>
    <xf numFmtId="0" fontId="0" fillId="2" borderId="0" xfId="0" applyFill="1"/>
    <xf numFmtId="0" fontId="3" fillId="2" borderId="1" xfId="0" applyFont="1" applyFill="1" applyBorder="1" applyAlignment="1">
      <alignment horizontal="center" vertical="center" wrapText="1"/>
    </xf>
    <xf numFmtId="0" fontId="16" fillId="23" borderId="1" xfId="0" applyFont="1" applyFill="1" applyBorder="1" applyAlignment="1">
      <alignment horizontal="center" vertical="center"/>
    </xf>
    <xf numFmtId="0" fontId="18" fillId="24" borderId="1" xfId="0" applyFont="1" applyFill="1" applyBorder="1" applyAlignment="1">
      <alignment horizontal="center" vertical="center"/>
    </xf>
    <xf numFmtId="0" fontId="19" fillId="25" borderId="1" xfId="0" applyFont="1" applyFill="1" applyBorder="1" applyAlignment="1">
      <alignment horizontal="center" vertical="center"/>
    </xf>
    <xf numFmtId="0" fontId="20" fillId="26" borderId="1" xfId="0" applyFont="1" applyFill="1" applyBorder="1" applyAlignment="1">
      <alignment horizontal="center" vertical="center"/>
    </xf>
    <xf numFmtId="0" fontId="21" fillId="27" borderId="1" xfId="0" applyFont="1" applyFill="1" applyBorder="1" applyAlignment="1">
      <alignment horizontal="center" vertical="center"/>
    </xf>
    <xf numFmtId="0" fontId="22" fillId="28" borderId="1" xfId="0" applyFont="1" applyFill="1" applyBorder="1" applyAlignment="1">
      <alignment horizontal="center" vertical="center"/>
    </xf>
    <xf numFmtId="0" fontId="23" fillId="29" borderId="1" xfId="0" applyFont="1" applyFill="1" applyBorder="1" applyAlignment="1">
      <alignment horizontal="center" vertical="center"/>
    </xf>
    <xf numFmtId="0" fontId="24" fillId="3"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5" fillId="25" borderId="1" xfId="0" applyFont="1" applyFill="1" applyBorder="1" applyAlignment="1">
      <alignment horizontal="center" vertical="center"/>
    </xf>
    <xf numFmtId="0" fontId="26" fillId="26" borderId="1" xfId="0" applyFont="1" applyFill="1" applyBorder="1" applyAlignment="1">
      <alignment horizontal="center" vertical="center"/>
    </xf>
    <xf numFmtId="0" fontId="27" fillId="24" borderId="1" xfId="0" applyFont="1" applyFill="1" applyBorder="1" applyAlignment="1">
      <alignment horizontal="center" vertical="center"/>
    </xf>
    <xf numFmtId="0" fontId="28" fillId="23" borderId="1" xfId="0" applyFont="1" applyFill="1" applyBorder="1" applyAlignment="1">
      <alignment horizontal="center" vertical="center"/>
    </xf>
    <xf numFmtId="0" fontId="3" fillId="30" borderId="1" xfId="0" applyFont="1" applyFill="1" applyBorder="1" applyAlignment="1">
      <alignment horizontal="left" vertical="center"/>
    </xf>
    <xf numFmtId="0" fontId="0" fillId="31" borderId="0" xfId="0" applyFill="1"/>
    <xf numFmtId="0" fontId="31" fillId="7" borderId="1" xfId="0" applyFont="1" applyFill="1" applyBorder="1" applyAlignment="1">
      <alignment horizontal="left" vertical="top" wrapText="1" indent="1"/>
    </xf>
    <xf numFmtId="0" fontId="3" fillId="5" borderId="1" xfId="0" applyFont="1" applyFill="1" applyBorder="1" applyAlignment="1">
      <alignment horizontal="left" vertical="center"/>
    </xf>
    <xf numFmtId="0" fontId="0" fillId="5" borderId="0" xfId="0" applyFill="1"/>
    <xf numFmtId="0" fontId="3" fillId="8" borderId="1" xfId="0" applyFont="1" applyFill="1" applyBorder="1" applyAlignment="1">
      <alignment horizontal="left" vertical="center"/>
    </xf>
    <xf numFmtId="0" fontId="0" fillId="32" borderId="0" xfId="0" applyFill="1"/>
    <xf numFmtId="0" fontId="3" fillId="10" borderId="1" xfId="0" applyFont="1" applyFill="1" applyBorder="1" applyAlignment="1">
      <alignment horizontal="left" vertical="center"/>
    </xf>
    <xf numFmtId="0" fontId="0" fillId="33" borderId="0" xfId="0" applyFill="1"/>
    <xf numFmtId="0" fontId="0" fillId="10" borderId="0" xfId="0" applyFill="1"/>
    <xf numFmtId="0" fontId="3" fillId="14" borderId="1" xfId="0" applyFont="1" applyFill="1" applyBorder="1" applyAlignment="1">
      <alignment horizontal="left" vertical="center"/>
    </xf>
    <xf numFmtId="0" fontId="0" fillId="34" borderId="0" xfId="0" applyFill="1"/>
    <xf numFmtId="0" fontId="0" fillId="14" borderId="0" xfId="0" applyFill="1"/>
    <xf numFmtId="0" fontId="3" fillId="16" borderId="1" xfId="0" applyFont="1" applyFill="1" applyBorder="1" applyAlignment="1">
      <alignment horizontal="left" vertical="center"/>
    </xf>
    <xf numFmtId="0" fontId="0" fillId="35" borderId="0" xfId="0" applyFill="1"/>
    <xf numFmtId="0" fontId="0" fillId="16" borderId="0" xfId="0" applyFill="1"/>
    <xf numFmtId="0" fontId="3" fillId="36" borderId="1" xfId="0" applyFont="1" applyFill="1" applyBorder="1" applyAlignment="1">
      <alignment horizontal="left" vertical="center"/>
    </xf>
    <xf numFmtId="0" fontId="0" fillId="37" borderId="0" xfId="0" applyFill="1"/>
    <xf numFmtId="0" fontId="6" fillId="38" borderId="1" xfId="0" applyFont="1" applyFill="1" applyBorder="1" applyAlignment="1">
      <alignment horizontal="left" vertical="top" wrapText="1" indent="1"/>
    </xf>
    <xf numFmtId="0" fontId="32" fillId="7" borderId="1" xfId="1" applyFill="1" applyBorder="1" applyAlignment="1">
      <alignment horizontal="left" vertical="top" wrapText="1" indent="1"/>
    </xf>
    <xf numFmtId="0" fontId="33" fillId="7" borderId="1" xfId="0" applyFont="1" applyFill="1" applyBorder="1" applyAlignment="1">
      <alignment horizontal="left" vertical="top" wrapText="1" indent="1"/>
    </xf>
    <xf numFmtId="0" fontId="36" fillId="3" borderId="1" xfId="0" applyFont="1" applyFill="1" applyBorder="1" applyAlignment="1">
      <alignment horizontal="left" vertical="top" wrapText="1"/>
    </xf>
    <xf numFmtId="0" fontId="36" fillId="7" borderId="1" xfId="0" applyFont="1" applyFill="1" applyBorder="1" applyAlignment="1">
      <alignment horizontal="left" vertical="top" wrapText="1"/>
    </xf>
    <xf numFmtId="0" fontId="35" fillId="7" borderId="1" xfId="0" applyFont="1" applyFill="1" applyBorder="1" applyAlignment="1">
      <alignment horizontal="left" vertical="top" wrapText="1"/>
    </xf>
    <xf numFmtId="0" fontId="1" fillId="2" borderId="0" xfId="0" applyFont="1" applyFill="1" applyAlignment="1">
      <alignment horizontal="left" vertical="center" wrapText="1"/>
    </xf>
    <xf numFmtId="0" fontId="2" fillId="3" borderId="0" xfId="0" applyFont="1" applyFill="1" applyAlignment="1">
      <alignment horizontal="left" vertical="center"/>
    </xf>
    <xf numFmtId="0" fontId="1" fillId="2" borderId="0" xfId="0" applyFont="1" applyFill="1" applyAlignment="1">
      <alignment horizontal="left" vertical="center"/>
    </xf>
    <xf numFmtId="0" fontId="4" fillId="5" borderId="2" xfId="0" applyFont="1" applyFill="1" applyBorder="1" applyAlignment="1">
      <alignment horizontal="left" vertical="center"/>
    </xf>
    <xf numFmtId="0" fontId="4" fillId="8" borderId="2" xfId="0" applyFont="1" applyFill="1" applyBorder="1" applyAlignment="1">
      <alignment horizontal="left" vertical="center"/>
    </xf>
    <xf numFmtId="0" fontId="4" fillId="10" borderId="2" xfId="0" applyFont="1" applyFill="1" applyBorder="1" applyAlignment="1">
      <alignment horizontal="left" vertical="center"/>
    </xf>
    <xf numFmtId="0" fontId="4" fillId="12" borderId="2" xfId="0" applyFont="1" applyFill="1" applyBorder="1" applyAlignment="1">
      <alignment horizontal="left" vertical="center"/>
    </xf>
    <xf numFmtId="0" fontId="4" fillId="1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13" fillId="3" borderId="2" xfId="0" applyFont="1" applyFill="1" applyBorder="1" applyAlignment="1">
      <alignment horizontal="left" vertical="top" wrapText="1"/>
    </xf>
    <xf numFmtId="0" fontId="13" fillId="7" borderId="2" xfId="0" applyFont="1" applyFill="1" applyBorder="1" applyAlignment="1">
      <alignment horizontal="left" vertical="top" wrapText="1"/>
    </xf>
    <xf numFmtId="0" fontId="13" fillId="3" borderId="8" xfId="0" applyFont="1" applyFill="1" applyBorder="1" applyAlignment="1">
      <alignment horizontal="left" vertical="top" wrapText="1"/>
    </xf>
    <xf numFmtId="9" fontId="15" fillId="3" borderId="2" xfId="0" applyNumberFormat="1" applyFont="1" applyFill="1" applyBorder="1" applyAlignment="1">
      <alignment horizontal="left" vertical="top" wrapText="1"/>
    </xf>
    <xf numFmtId="0" fontId="32" fillId="3" borderId="2" xfId="1" applyFill="1" applyBorder="1" applyAlignment="1">
      <alignment horizontal="left" vertical="top" wrapText="1"/>
    </xf>
    <xf numFmtId="0" fontId="3" fillId="4" borderId="1" xfId="0" applyFont="1" applyFill="1" applyBorder="1" applyAlignment="1">
      <alignment horizontal="center" vertical="center" wrapText="1"/>
    </xf>
    <xf numFmtId="0" fontId="3" fillId="5" borderId="0" xfId="0" applyFont="1" applyFill="1" applyAlignment="1">
      <alignment horizontal="center" vertical="center"/>
    </xf>
    <xf numFmtId="0" fontId="3" fillId="18" borderId="0" xfId="0" applyFont="1" applyFill="1" applyAlignment="1">
      <alignment horizontal="center" vertical="center"/>
    </xf>
    <xf numFmtId="0" fontId="3" fillId="19" borderId="0" xfId="0" applyFont="1" applyFill="1" applyAlignment="1">
      <alignment horizontal="center" vertical="center"/>
    </xf>
    <xf numFmtId="0" fontId="3" fillId="20" borderId="0" xfId="0" applyFont="1" applyFill="1" applyAlignment="1">
      <alignment horizontal="center" vertical="center"/>
    </xf>
    <xf numFmtId="0" fontId="3" fillId="21" borderId="0" xfId="0" applyFont="1" applyFill="1" applyAlignment="1">
      <alignment horizontal="center" vertical="center"/>
    </xf>
    <xf numFmtId="0" fontId="17" fillId="3" borderId="2"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29" fillId="30" borderId="0" xfId="0" applyFont="1" applyFill="1" applyAlignment="1">
      <alignment horizontal="left" vertical="center"/>
    </xf>
    <xf numFmtId="0" fontId="29" fillId="10" borderId="0" xfId="0" applyFont="1" applyFill="1" applyAlignment="1">
      <alignment horizontal="left" vertical="center"/>
    </xf>
    <xf numFmtId="0" fontId="11" fillId="3" borderId="2" xfId="0" applyFont="1" applyFill="1" applyBorder="1" applyAlignment="1">
      <alignment horizontal="left" vertical="center" wrapText="1"/>
    </xf>
    <xf numFmtId="0" fontId="29" fillId="5" borderId="0" xfId="0" applyFont="1" applyFill="1" applyAlignment="1">
      <alignment horizontal="left" vertical="center"/>
    </xf>
    <xf numFmtId="0" fontId="29" fillId="8" borderId="0" xfId="0" applyFont="1" applyFill="1" applyAlignment="1">
      <alignment horizontal="left" vertical="center"/>
    </xf>
    <xf numFmtId="0" fontId="29" fillId="14" borderId="0" xfId="0" applyFont="1" applyFill="1" applyAlignment="1">
      <alignment horizontal="left" vertical="center"/>
    </xf>
    <xf numFmtId="0" fontId="30" fillId="14" borderId="0" xfId="0" applyFont="1" applyFill="1" applyAlignment="1">
      <alignment horizontal="left" vertical="center"/>
    </xf>
    <xf numFmtId="0" fontId="29" fillId="16" borderId="0" xfId="0" applyFont="1" applyFill="1" applyAlignment="1">
      <alignment horizontal="left" vertical="center"/>
    </xf>
    <xf numFmtId="0" fontId="30" fillId="16" borderId="0" xfId="0" applyFont="1" applyFill="1" applyAlignment="1">
      <alignment horizontal="left" vertical="center"/>
    </xf>
    <xf numFmtId="0" fontId="30" fillId="36" borderId="0" xfId="0" applyFont="1" applyFill="1" applyAlignment="1">
      <alignment horizontal="left" vertical="center"/>
    </xf>
    <xf numFmtId="0" fontId="30" fillId="5" borderId="0" xfId="0" applyFont="1" applyFill="1" applyAlignment="1">
      <alignment horizontal="left" vertical="center"/>
    </xf>
    <xf numFmtId="0" fontId="29" fillId="36" borderId="0" xfId="0" applyFont="1" applyFill="1" applyAlignment="1">
      <alignment horizontal="left" vertical="center"/>
    </xf>
  </cellXfs>
  <cellStyles count="2">
    <cellStyle name="Hyperlink" xfId="1" builtinId="8"/>
    <cellStyle name="Normal" xfId="0" builtinId="0"/>
  </cellStyles>
  <dxfs count="35">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FDEDEC"/>
      <rgbColor rgb="FF0000FF"/>
      <rgbColor rgb="FFFDEBD0"/>
      <rgbColor rgb="FFFF00FF"/>
      <rgbColor rgb="FFE8ECF0"/>
      <rgbColor rgb="FF9C0006"/>
      <rgbColor rgb="FF276221"/>
      <rgbColor rgb="FF145A32"/>
      <rgbColor rgb="FF7D6608"/>
      <rgbColor rgb="FF784212"/>
      <rgbColor rgb="FF1A7A6E"/>
      <rgbColor rgb="FFB2BEC3"/>
      <rgbColor rgb="FF9C6500"/>
      <rgbColor rgb="FFA9DFBF"/>
      <rgbColor rgb="FF6E2FA0"/>
      <rgbColor rgb="FFFEF9E7"/>
      <rgbColor rgb="FFD5F5F1"/>
      <rgbColor rgb="FF444444"/>
      <rgbColor rgb="FFF1948A"/>
      <rgbColor rgb="FF1155CC"/>
      <rgbColor rgb="FFD7BDE2"/>
      <rgbColor rgb="FF1F618D"/>
      <rgbColor rgb="FFFF00FF"/>
      <rgbColor rgb="FFC6EFCE"/>
      <rgbColor rgb="FFEEF4FC"/>
      <rgbColor rgb="FF800080"/>
      <rgbColor rgb="FF7B241C"/>
      <rgbColor rgb="FF2874A6"/>
      <rgbColor rgb="FF0000FF"/>
      <rgbColor rgb="FFD6E4F7"/>
      <rgbColor rgb="FFD6EAF8"/>
      <rgbColor rgb="FFD5F5E3"/>
      <rgbColor rgb="FFFFEB9C"/>
      <rgbColor rgb="FFAED6F1"/>
      <rgbColor rgb="FFF0B27A"/>
      <rgbColor rgb="FFCCCCCC"/>
      <rgbColor rgb="FFFFDAB9"/>
      <rgbColor rgb="FF2E5DA6"/>
      <rgbColor rgb="FF3498DB"/>
      <rgbColor rgb="FFE2E2E2"/>
      <rgbColor rgb="FFFFC7CE"/>
      <rgbColor rgb="FFE8D5F5"/>
      <rgbColor rgb="FFF0E6FA"/>
      <rgbColor rgb="FF555555"/>
      <rgbColor rgb="FFAAAAAA"/>
      <rgbColor rgb="FF1A3A5C"/>
      <rgbColor rgb="FF2E86C1"/>
      <rgbColor rgb="FF1B2A4A"/>
      <rgbColor rgb="FF1A1A1A"/>
      <rgbColor rgb="FF8B4513"/>
      <rgbColor rgb="FF6B2FA0"/>
      <rgbColor rgb="FF1A5276"/>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Wadden, Sheila (IRCC/IRCC) (she, her | elle, la)" id="{7FC42525-4A01-4DE2-9CBB-C2719CB50B91}" userId="S::sheila.wadden@cic.gc.ca::a2c625e8-2a16-406a-912c-39928472d430"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6-04-28T17:15:16.13" personId="{7FC42525-4A01-4DE2-9CBB-C2719CB50B91}" id="{88FC55E0-FC22-492E-9CF9-2F8C9B8F8EBC}" done="1">
    <text xml:space="preserve">For the last sentence, could we say something like "When you get to Ottawa, where could you go to get French-language support for finding employment?" </text>
  </threadedComment>
  <threadedComment ref="F7" dT="2026-04-28T17:17:03.08" personId="{7FC42525-4A01-4DE2-9CBB-C2719CB50B91}" id="{352F363A-7F57-420D-B48E-3C8F4AE922AE}" done="1">
    <text xml:space="preserve">Note to self. Circle back to this one after meeting with Nadya. Results are weird. </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https://ircc.canada.ca/francais/nouveaux/services/index.asp"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3" Type="http://schemas.openxmlformats.org/officeDocument/2006/relationships/hyperlink" Target="https://www.usability.gov/how-to-and-tools/methods/task-development.html" TargetMode="External"/><Relationship Id="rId18" Type="http://schemas.openxmlformats.org/officeDocument/2006/relationships/hyperlink" Target="https://www.nngroup.com/articles/how-many-test-users/" TargetMode="External"/><Relationship Id="rId26" Type="http://schemas.openxmlformats.org/officeDocument/2006/relationships/hyperlink" Target="https://www.nngroup.com/articles/observer-role-in-usability-testing/" TargetMode="External"/><Relationship Id="rId39" Type="http://schemas.openxmlformats.org/officeDocument/2006/relationships/hyperlink" Target="https://dovetail.com/research/building-a-research-repository/" TargetMode="External"/><Relationship Id="rId21" Type="http://schemas.openxmlformats.org/officeDocument/2006/relationships/hyperlink" Target="https://www.nngroup.com/articles/recruiting-usability-study-participants/" TargetMode="External"/><Relationship Id="rId34" Type="http://schemas.openxmlformats.org/officeDocument/2006/relationships/hyperlink" Target="https://dovetail.com/ux-research/ux-research-report/" TargetMode="External"/><Relationship Id="rId42" Type="http://schemas.openxmlformats.org/officeDocument/2006/relationships/hyperlink" Target="https://www.usability.gov/how-to-and-tools/methods/usability-testing.html" TargetMode="External"/><Relationship Id="rId47" Type="http://schemas.openxmlformats.org/officeDocument/2006/relationships/hyperlink" Target="https://researchops.community/" TargetMode="External"/><Relationship Id="rId50" Type="http://schemas.openxmlformats.org/officeDocument/2006/relationships/hyperlink" Target="https://www.w3.org/TR/WCAG22/" TargetMode="External"/><Relationship Id="rId7" Type="http://schemas.openxmlformats.org/officeDocument/2006/relationships/hyperlink" Target="https://www.nngroup.com/articles/research-questions/" TargetMode="External"/><Relationship Id="rId2" Type="http://schemas.openxmlformats.org/officeDocument/2006/relationships/hyperlink" Target="https://www.nngroup.com/articles/research-learning-spirals/" TargetMode="External"/><Relationship Id="rId16" Type="http://schemas.openxmlformats.org/officeDocument/2006/relationships/hyperlink" Target="https://www.interaction-design.org/literature/topics/usability-testing" TargetMode="External"/><Relationship Id="rId29" Type="http://schemas.openxmlformats.org/officeDocument/2006/relationships/hyperlink" Target="https://www.nngroup.com/articles/affinity-diagram/" TargetMode="External"/><Relationship Id="rId11" Type="http://schemas.openxmlformats.org/officeDocument/2006/relationships/hyperlink" Target="https://www.nngroup.com/articles/task-scenarios-usability-testing/" TargetMode="External"/><Relationship Id="rId24" Type="http://schemas.openxmlformats.org/officeDocument/2006/relationships/hyperlink" Target="https://www.nngroup.com/articles/taking-notes-user-research/" TargetMode="External"/><Relationship Id="rId32" Type="http://schemas.openxmlformats.org/officeDocument/2006/relationships/hyperlink" Target="https://www.interaction-design.org/literature/topics/usability-testing" TargetMode="External"/><Relationship Id="rId37" Type="http://schemas.openxmlformats.org/officeDocument/2006/relationships/hyperlink" Target="https://uxdesign.cc/how-to-write-a-ux-research-report-that-people-will-actually-read-12a9e4a94b2f" TargetMode="External"/><Relationship Id="rId40" Type="http://schemas.openxmlformats.org/officeDocument/2006/relationships/hyperlink" Target="https://researchops.community/" TargetMode="External"/><Relationship Id="rId45" Type="http://schemas.openxmlformats.org/officeDocument/2006/relationships/hyperlink" Target="https://dovetail.com/ux-research/usability-testing/" TargetMode="External"/><Relationship Id="rId5" Type="http://schemas.openxmlformats.org/officeDocument/2006/relationships/hyperlink" Target="https://researchops.community/" TargetMode="External"/><Relationship Id="rId15" Type="http://schemas.openxmlformats.org/officeDocument/2006/relationships/hyperlink" Target="https://maze.co/guides/usability-testing/" TargetMode="External"/><Relationship Id="rId23" Type="http://schemas.openxmlformats.org/officeDocument/2006/relationships/hyperlink" Target="https://www.nngroup.com/articles/success-rate-the-simplest-usability-metric/" TargetMode="External"/><Relationship Id="rId28" Type="http://schemas.openxmlformats.org/officeDocument/2006/relationships/hyperlink" Target="https://www.nngroup.com/articles/debrief-usability-tests/" TargetMode="External"/><Relationship Id="rId36" Type="http://schemas.openxmlformats.org/officeDocument/2006/relationships/hyperlink" Target="https://www.nngroup.com/articles/user-testing-highlight-reel/" TargetMode="External"/><Relationship Id="rId49" Type="http://schemas.openxmlformats.org/officeDocument/2006/relationships/hyperlink" Target="https://www.nngroup.com/articles/measuring-perceived-usability/" TargetMode="External"/><Relationship Id="rId10" Type="http://schemas.openxmlformats.org/officeDocument/2006/relationships/hyperlink" Target="https://www.nngroup.com/articles/measuring-perceived-usability/" TargetMode="External"/><Relationship Id="rId19" Type="http://schemas.openxmlformats.org/officeDocument/2006/relationships/hyperlink" Target="https://www.userzoom.com/ux-library/how-to-recruit-participants-for-usability-testing/" TargetMode="External"/><Relationship Id="rId31" Type="http://schemas.openxmlformats.org/officeDocument/2006/relationships/hyperlink" Target="https://www.nngroup.com/articles/how-to-rate-the-severity-of-usability-problems/" TargetMode="External"/><Relationship Id="rId44" Type="http://schemas.openxmlformats.org/officeDocument/2006/relationships/hyperlink" Target="https://maze.co/guides/usability-testing/" TargetMode="External"/><Relationship Id="rId4" Type="http://schemas.openxmlformats.org/officeDocument/2006/relationships/hyperlink" Target="https://maze.co/guides/ux-research/" TargetMode="External"/><Relationship Id="rId9" Type="http://schemas.openxmlformats.org/officeDocument/2006/relationships/hyperlink" Target="https://www.interaction-design.org/literature/topics/usability-testing" TargetMode="External"/><Relationship Id="rId14" Type="http://schemas.openxmlformats.org/officeDocument/2006/relationships/hyperlink" Target="https://www.nngroup.com/articles/pilot-testing/" TargetMode="External"/><Relationship Id="rId22" Type="http://schemas.openxmlformats.org/officeDocument/2006/relationships/hyperlink" Target="https://researchops.community/" TargetMode="External"/><Relationship Id="rId27" Type="http://schemas.openxmlformats.org/officeDocument/2006/relationships/hyperlink" Target="https://maze.co/guides/usability-testing/remote-usability-testing/" TargetMode="External"/><Relationship Id="rId30" Type="http://schemas.openxmlformats.org/officeDocument/2006/relationships/hyperlink" Target="https://www.nngroup.com/articles/success-rate-the-simplest-usability-metric/" TargetMode="External"/><Relationship Id="rId35" Type="http://schemas.openxmlformats.org/officeDocument/2006/relationships/hyperlink" Target="https://www.nngroup.com/articles/communicating-user-research/" TargetMode="External"/><Relationship Id="rId43" Type="http://schemas.openxmlformats.org/officeDocument/2006/relationships/hyperlink" Target="https://www.interaction-design.org/literature/topics/usability-testing" TargetMode="External"/><Relationship Id="rId48" Type="http://schemas.openxmlformats.org/officeDocument/2006/relationships/hyperlink" Target="https://www.usability.gov/how-to-and-tools/methods/system-usability-scale.html" TargetMode="External"/><Relationship Id="rId8" Type="http://schemas.openxmlformats.org/officeDocument/2006/relationships/hyperlink" Target="https://www.usability.gov/how-to-and-tools/methods/usability-testing.html" TargetMode="External"/><Relationship Id="rId51" Type="http://schemas.openxmlformats.org/officeDocument/2006/relationships/hyperlink" Target="https://dovetail.com/customer-research/" TargetMode="External"/><Relationship Id="rId3" Type="http://schemas.openxmlformats.org/officeDocument/2006/relationships/hyperlink" Target="https://uxdesign.cc/how-to-align-stakeholders-on-ux-research-goals-8a6f9e4f7f93" TargetMode="External"/><Relationship Id="rId12" Type="http://schemas.openxmlformats.org/officeDocument/2006/relationships/hyperlink" Target="https://www.nngroup.com/articles/priming/" TargetMode="External"/><Relationship Id="rId17" Type="http://schemas.openxmlformats.org/officeDocument/2006/relationships/hyperlink" Target="https://www.nngroup.com/articles/recruiting-usability-study-participants/" TargetMode="External"/><Relationship Id="rId25" Type="http://schemas.openxmlformats.org/officeDocument/2006/relationships/hyperlink" Target="https://www.usability.gov/how-to-and-tools/methods/system-usability-scale.html" TargetMode="External"/><Relationship Id="rId33" Type="http://schemas.openxmlformats.org/officeDocument/2006/relationships/hyperlink" Target="https://www.nngroup.com/articles/ux-research-collaborators/" TargetMode="External"/><Relationship Id="rId38" Type="http://schemas.openxmlformats.org/officeDocument/2006/relationships/hyperlink" Target="https://www.nngroup.com/articles/ux-research-buy-in/" TargetMode="External"/><Relationship Id="rId46" Type="http://schemas.openxmlformats.org/officeDocument/2006/relationships/hyperlink" Target="https://www.sensible.com/rocket-surgery-made-easy.html" TargetMode="External"/><Relationship Id="rId20" Type="http://schemas.openxmlformats.org/officeDocument/2006/relationships/hyperlink" Target="https://dovetail.com/ux-research/usability-testing/" TargetMode="External"/><Relationship Id="rId41" Type="http://schemas.openxmlformats.org/officeDocument/2006/relationships/hyperlink" Target="https://www.nngroup.com/articles/tag/usability-testing/" TargetMode="External"/><Relationship Id="rId1" Type="http://schemas.openxmlformats.org/officeDocument/2006/relationships/hyperlink" Target="https://www.nngroup.com/articles/ux-research-buy-in/" TargetMode="External"/><Relationship Id="rId6" Type="http://schemas.openxmlformats.org/officeDocument/2006/relationships/hyperlink" Target="https://www.nngroup.com/articles/documenting-ux-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0"/>
  <sheetViews>
    <sheetView showGridLines="0" zoomScale="120" zoomScaleNormal="100" workbookViewId="0">
      <pane xSplit="2" ySplit="2" topLeftCell="C10" activePane="bottomRight" state="frozen"/>
      <selection pane="bottomRight" activeCell="D15" sqref="D15"/>
      <selection pane="bottomLeft" activeCell="C6" sqref="C6"/>
      <selection pane="topRight" activeCell="C6" sqref="C6"/>
    </sheetView>
  </sheetViews>
  <sheetFormatPr defaultColWidth="8.7109375" defaultRowHeight="15"/>
  <cols>
    <col min="1" max="2" width="3" customWidth="1"/>
    <col min="3" max="3" width="60" customWidth="1"/>
    <col min="4" max="4" width="80.7109375" customWidth="1"/>
    <col min="5" max="5" width="3" customWidth="1"/>
  </cols>
  <sheetData>
    <row r="1" spans="2:4" ht="43.5" customHeight="1">
      <c r="B1" s="77" t="s">
        <v>0</v>
      </c>
      <c r="C1" s="77"/>
      <c r="D1" s="77"/>
    </row>
    <row r="2" spans="2:4" ht="27.75" customHeight="1">
      <c r="C2" s="2" t="s">
        <v>1</v>
      </c>
      <c r="D2" s="2" t="s">
        <v>2</v>
      </c>
    </row>
    <row r="3" spans="2:4" ht="27.75" customHeight="1">
      <c r="C3" s="78" t="s">
        <v>3</v>
      </c>
      <c r="D3" s="78"/>
    </row>
    <row r="4" spans="2:4" ht="31.5" customHeight="1">
      <c r="B4" s="3" t="s">
        <v>4</v>
      </c>
      <c r="C4" s="4" t="s">
        <v>5</v>
      </c>
      <c r="D4" s="5" t="s">
        <v>6</v>
      </c>
    </row>
    <row r="5" spans="2:4" ht="31.5" customHeight="1">
      <c r="B5" s="6" t="s">
        <v>4</v>
      </c>
      <c r="C5" s="7" t="s">
        <v>7</v>
      </c>
      <c r="D5" s="5"/>
    </row>
    <row r="6" spans="2:4" ht="31.5" customHeight="1">
      <c r="B6" s="3" t="s">
        <v>4</v>
      </c>
      <c r="C6" s="4" t="s">
        <v>8</v>
      </c>
      <c r="D6" s="5" t="s">
        <v>9</v>
      </c>
    </row>
    <row r="7" spans="2:4" ht="31.5" customHeight="1">
      <c r="B7" s="6" t="s">
        <v>4</v>
      </c>
      <c r="C7" s="7" t="s">
        <v>10</v>
      </c>
      <c r="D7" s="5"/>
    </row>
    <row r="8" spans="2:4" ht="31.5" customHeight="1">
      <c r="B8" s="3" t="s">
        <v>4</v>
      </c>
      <c r="C8" s="4" t="s">
        <v>11</v>
      </c>
      <c r="D8" s="5"/>
    </row>
    <row r="9" spans="2:4" ht="33.75" customHeight="1">
      <c r="B9" s="6" t="s">
        <v>4</v>
      </c>
      <c r="C9" s="7" t="s">
        <v>12</v>
      </c>
      <c r="D9" s="5"/>
    </row>
    <row r="10" spans="2:4" ht="17.25" customHeight="1">
      <c r="B10" s="8"/>
      <c r="C10" s="8"/>
      <c r="D10" s="8"/>
    </row>
    <row r="11" spans="2:4" ht="27.75" customHeight="1">
      <c r="C11" s="79" t="s">
        <v>13</v>
      </c>
      <c r="D11" s="79"/>
    </row>
    <row r="12" spans="2:4" ht="168.75" customHeight="1">
      <c r="B12" s="9" t="s">
        <v>4</v>
      </c>
      <c r="C12" s="10" t="s">
        <v>14</v>
      </c>
      <c r="D12" s="71" t="s">
        <v>15</v>
      </c>
    </row>
    <row r="13" spans="2:4" ht="31.5" customHeight="1">
      <c r="B13" s="11" t="s">
        <v>4</v>
      </c>
      <c r="C13" s="7" t="s">
        <v>16</v>
      </c>
      <c r="D13" s="5"/>
    </row>
    <row r="14" spans="2:4" ht="31.5" customHeight="1">
      <c r="B14" s="9" t="s">
        <v>4</v>
      </c>
      <c r="C14" s="10" t="s">
        <v>17</v>
      </c>
      <c r="D14" s="5"/>
    </row>
    <row r="15" spans="2:4" ht="31.5" customHeight="1">
      <c r="B15" s="11" t="s">
        <v>4</v>
      </c>
      <c r="C15" s="7" t="s">
        <v>18</v>
      </c>
      <c r="D15" s="5"/>
    </row>
    <row r="16" spans="2:4" ht="31.5" customHeight="1">
      <c r="B16" s="9" t="s">
        <v>4</v>
      </c>
      <c r="C16" s="10" t="s">
        <v>19</v>
      </c>
      <c r="D16" s="5"/>
    </row>
    <row r="17" spans="2:4" ht="31.5" customHeight="1">
      <c r="B17" s="11" t="s">
        <v>4</v>
      </c>
      <c r="C17" s="7" t="s">
        <v>20</v>
      </c>
      <c r="D17" s="5"/>
    </row>
    <row r="18" spans="2:4" ht="31.5" customHeight="1">
      <c r="B18" s="9" t="s">
        <v>4</v>
      </c>
      <c r="C18" s="10" t="s">
        <v>21</v>
      </c>
      <c r="D18" s="5"/>
    </row>
    <row r="19" spans="2:4" ht="7.5" customHeight="1">
      <c r="B19" s="8"/>
      <c r="C19" s="8"/>
      <c r="D19" s="8"/>
    </row>
    <row r="20" spans="2:4" ht="27.75" customHeight="1">
      <c r="C20" s="80" t="s">
        <v>22</v>
      </c>
      <c r="D20" s="80"/>
    </row>
    <row r="21" spans="2:4" ht="31.5" customHeight="1">
      <c r="B21" s="12" t="s">
        <v>4</v>
      </c>
      <c r="C21" s="13" t="s">
        <v>23</v>
      </c>
      <c r="D21" s="5"/>
    </row>
    <row r="22" spans="2:4" ht="31.5" customHeight="1">
      <c r="B22" s="14" t="s">
        <v>4</v>
      </c>
      <c r="C22" s="7" t="s">
        <v>24</v>
      </c>
      <c r="D22" s="5"/>
    </row>
    <row r="23" spans="2:4" ht="31.5" customHeight="1">
      <c r="B23" s="12" t="s">
        <v>4</v>
      </c>
      <c r="C23" s="13" t="s">
        <v>25</v>
      </c>
      <c r="D23" s="5"/>
    </row>
    <row r="24" spans="2:4" ht="45.75" customHeight="1">
      <c r="B24" s="14" t="s">
        <v>4</v>
      </c>
      <c r="C24" s="7" t="s">
        <v>26</v>
      </c>
      <c r="D24" s="5"/>
    </row>
    <row r="25" spans="2:4" ht="31.5" customHeight="1">
      <c r="B25" s="12" t="s">
        <v>4</v>
      </c>
      <c r="C25" s="13" t="s">
        <v>27</v>
      </c>
      <c r="D25" s="5"/>
    </row>
    <row r="26" spans="2:4" ht="31.5" customHeight="1">
      <c r="B26" s="14" t="s">
        <v>4</v>
      </c>
      <c r="C26" s="7" t="s">
        <v>28</v>
      </c>
      <c r="D26" s="5"/>
    </row>
    <row r="27" spans="2:4" ht="31.5" customHeight="1">
      <c r="B27" s="12" t="s">
        <v>4</v>
      </c>
      <c r="C27" s="13" t="s">
        <v>29</v>
      </c>
      <c r="D27" s="5"/>
    </row>
    <row r="28" spans="2:4" ht="7.5" customHeight="1">
      <c r="B28" s="8"/>
      <c r="C28" s="8"/>
      <c r="D28" s="8"/>
    </row>
    <row r="29" spans="2:4" ht="27.75" customHeight="1">
      <c r="C29" s="81" t="s">
        <v>30</v>
      </c>
      <c r="D29" s="81"/>
    </row>
    <row r="30" spans="2:4" ht="31.5" customHeight="1">
      <c r="B30" s="15" t="s">
        <v>4</v>
      </c>
      <c r="C30" s="16" t="s">
        <v>31</v>
      </c>
      <c r="D30" s="5"/>
    </row>
    <row r="31" spans="2:4" ht="31.5" customHeight="1">
      <c r="B31" s="17" t="s">
        <v>4</v>
      </c>
      <c r="C31" s="7" t="s">
        <v>32</v>
      </c>
      <c r="D31" s="5"/>
    </row>
    <row r="32" spans="2:4" ht="31.5" customHeight="1">
      <c r="B32" s="15" t="s">
        <v>4</v>
      </c>
      <c r="C32" s="16" t="s">
        <v>33</v>
      </c>
      <c r="D32" s="5"/>
    </row>
    <row r="33" spans="2:4" ht="31.5" customHeight="1">
      <c r="B33" s="17" t="s">
        <v>4</v>
      </c>
      <c r="C33" s="7" t="s">
        <v>34</v>
      </c>
      <c r="D33" s="5"/>
    </row>
    <row r="34" spans="2:4" ht="31.5" customHeight="1">
      <c r="B34" s="15" t="s">
        <v>4</v>
      </c>
      <c r="C34" s="16" t="s">
        <v>35</v>
      </c>
      <c r="D34" s="5"/>
    </row>
    <row r="35" spans="2:4" ht="31.5" customHeight="1">
      <c r="B35" s="17" t="s">
        <v>4</v>
      </c>
      <c r="C35" s="7" t="s">
        <v>36</v>
      </c>
      <c r="D35" s="5"/>
    </row>
    <row r="36" spans="2:4" ht="31.5" customHeight="1">
      <c r="B36" s="15" t="s">
        <v>4</v>
      </c>
      <c r="C36" s="16" t="s">
        <v>37</v>
      </c>
      <c r="D36" s="5"/>
    </row>
    <row r="37" spans="2:4" ht="31.5" customHeight="1">
      <c r="B37" s="17" t="s">
        <v>4</v>
      </c>
      <c r="C37" s="7" t="s">
        <v>38</v>
      </c>
      <c r="D37" s="5"/>
    </row>
    <row r="38" spans="2:4" ht="31.5" customHeight="1">
      <c r="B38" s="15" t="s">
        <v>4</v>
      </c>
      <c r="C38" s="16" t="s">
        <v>39</v>
      </c>
      <c r="D38" s="5"/>
    </row>
    <row r="39" spans="2:4" ht="7.5" customHeight="1">
      <c r="B39" s="8"/>
      <c r="C39" s="8"/>
      <c r="D39" s="8"/>
    </row>
    <row r="40" spans="2:4" ht="7.5" customHeight="1">
      <c r="B40" s="8"/>
      <c r="C40" s="8"/>
      <c r="D40" s="8"/>
    </row>
    <row r="41" spans="2:4" ht="27.75" customHeight="1">
      <c r="C41" s="82" t="s">
        <v>40</v>
      </c>
      <c r="D41" s="82"/>
    </row>
    <row r="42" spans="2:4" ht="31.5" customHeight="1">
      <c r="B42" s="18" t="s">
        <v>4</v>
      </c>
      <c r="C42" s="19" t="s">
        <v>41</v>
      </c>
      <c r="D42" s="5"/>
    </row>
    <row r="43" spans="2:4" ht="31.5" customHeight="1">
      <c r="B43" s="20" t="s">
        <v>4</v>
      </c>
      <c r="C43" s="7" t="s">
        <v>42</v>
      </c>
      <c r="D43" s="5"/>
    </row>
    <row r="44" spans="2:4" ht="31.5" customHeight="1">
      <c r="B44" s="18" t="s">
        <v>4</v>
      </c>
      <c r="C44" s="19" t="s">
        <v>43</v>
      </c>
      <c r="D44" s="5"/>
    </row>
    <row r="45" spans="2:4" ht="31.5" customHeight="1">
      <c r="B45" s="20" t="s">
        <v>4</v>
      </c>
      <c r="C45" s="7" t="s">
        <v>44</v>
      </c>
      <c r="D45" s="5"/>
    </row>
    <row r="46" spans="2:4" ht="31.5" customHeight="1">
      <c r="B46" s="18" t="s">
        <v>4</v>
      </c>
      <c r="C46" s="19" t="s">
        <v>45</v>
      </c>
      <c r="D46" s="5"/>
    </row>
    <row r="47" spans="2:4" ht="31.5" customHeight="1">
      <c r="B47" s="20" t="s">
        <v>4</v>
      </c>
      <c r="C47" s="7" t="s">
        <v>46</v>
      </c>
      <c r="D47" s="5"/>
    </row>
    <row r="48" spans="2:4" ht="31.5" customHeight="1">
      <c r="B48" s="18" t="s">
        <v>4</v>
      </c>
      <c r="C48" s="19" t="s">
        <v>47</v>
      </c>
      <c r="D48" s="5"/>
    </row>
    <row r="49" spans="2:4" ht="7.5" customHeight="1">
      <c r="B49" s="8"/>
      <c r="C49" s="8"/>
      <c r="D49" s="8"/>
    </row>
    <row r="50" spans="2:4" ht="27.75" customHeight="1">
      <c r="C50" s="79" t="s">
        <v>48</v>
      </c>
      <c r="D50" s="79"/>
    </row>
    <row r="51" spans="2:4" ht="31.5" customHeight="1">
      <c r="B51" s="9" t="s">
        <v>4</v>
      </c>
      <c r="C51" s="10" t="s">
        <v>49</v>
      </c>
      <c r="D51" s="5"/>
    </row>
    <row r="52" spans="2:4" ht="31.5" customHeight="1">
      <c r="B52" s="11" t="s">
        <v>4</v>
      </c>
      <c r="C52" s="7" t="s">
        <v>50</v>
      </c>
      <c r="D52" s="5"/>
    </row>
    <row r="53" spans="2:4" ht="31.5" customHeight="1">
      <c r="B53" s="9" t="s">
        <v>4</v>
      </c>
      <c r="C53" s="10" t="s">
        <v>51</v>
      </c>
      <c r="D53" s="5"/>
    </row>
    <row r="54" spans="2:4" ht="31.5" customHeight="1">
      <c r="B54" s="11" t="s">
        <v>4</v>
      </c>
      <c r="C54" s="7" t="s">
        <v>52</v>
      </c>
      <c r="D54" s="5"/>
    </row>
    <row r="55" spans="2:4" ht="7.5" customHeight="1">
      <c r="B55" s="8"/>
      <c r="C55" s="8"/>
      <c r="D55" s="8"/>
    </row>
    <row r="56" spans="2:4" ht="7.5" customHeight="1">
      <c r="B56" s="8"/>
      <c r="C56" s="8"/>
      <c r="D56" s="8"/>
    </row>
    <row r="57" spans="2:4" ht="27.75" customHeight="1">
      <c r="C57" s="78" t="s">
        <v>53</v>
      </c>
      <c r="D57" s="78"/>
    </row>
    <row r="58" spans="2:4" ht="31.5" customHeight="1">
      <c r="B58" s="3" t="s">
        <v>4</v>
      </c>
      <c r="C58" s="4" t="s">
        <v>54</v>
      </c>
      <c r="D58" s="5"/>
    </row>
    <row r="59" spans="2:4" ht="31.5" customHeight="1">
      <c r="B59" s="6" t="s">
        <v>4</v>
      </c>
      <c r="C59" s="7" t="s">
        <v>55</v>
      </c>
      <c r="D59" s="5"/>
    </row>
    <row r="60" spans="2:4" ht="7.5" customHeight="1">
      <c r="B60" s="8"/>
      <c r="C60" s="8"/>
      <c r="D60" s="8"/>
    </row>
  </sheetData>
  <mergeCells count="8">
    <mergeCell ref="B1:D1"/>
    <mergeCell ref="C3:D3"/>
    <mergeCell ref="C11:D11"/>
    <mergeCell ref="C57:D57"/>
    <mergeCell ref="C20:D20"/>
    <mergeCell ref="C29:D29"/>
    <mergeCell ref="C41:D41"/>
    <mergeCell ref="C50:D5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6"/>
  <sheetViews>
    <sheetView showGridLines="0" zoomScale="120" zoomScaleNormal="120" workbookViewId="0">
      <pane xSplit="2" ySplit="3" topLeftCell="C4" activePane="bottomRight" state="frozen"/>
      <selection pane="bottomRight" activeCell="G13" sqref="G13"/>
      <selection pane="bottomLeft" activeCell="A65" sqref="A65:XFD70"/>
      <selection pane="topRight" activeCell="A65" sqref="A65:XFD70"/>
    </sheetView>
  </sheetViews>
  <sheetFormatPr defaultColWidth="8.7109375" defaultRowHeight="15"/>
  <cols>
    <col min="1" max="1" width="4" customWidth="1"/>
    <col min="2" max="2" width="22" customWidth="1"/>
    <col min="3" max="7" width="16" customWidth="1"/>
  </cols>
  <sheetData>
    <row r="1" spans="2:7" ht="39.75" customHeight="1">
      <c r="B1" s="75" t="s">
        <v>56</v>
      </c>
      <c r="C1" s="75"/>
      <c r="D1" s="75"/>
      <c r="E1" s="75"/>
      <c r="F1" s="75"/>
      <c r="G1" s="75"/>
    </row>
    <row r="2" spans="2:7" ht="24" customHeight="1">
      <c r="B2" s="83" t="s">
        <v>57</v>
      </c>
      <c r="C2" s="83"/>
      <c r="D2" s="83"/>
      <c r="E2" s="83"/>
      <c r="F2" s="83"/>
      <c r="G2" s="83"/>
    </row>
    <row r="3" spans="2:7" ht="30" customHeight="1">
      <c r="B3" s="22" t="s">
        <v>58</v>
      </c>
      <c r="C3" s="23" t="s">
        <v>59</v>
      </c>
      <c r="D3" s="24" t="s">
        <v>60</v>
      </c>
      <c r="E3" s="25" t="s">
        <v>61</v>
      </c>
      <c r="F3" s="26" t="s">
        <v>62</v>
      </c>
      <c r="G3" s="27" t="s">
        <v>63</v>
      </c>
    </row>
    <row r="4" spans="2:7" ht="24" customHeight="1">
      <c r="B4" s="28" t="s">
        <v>64</v>
      </c>
      <c r="C4" s="29">
        <f>COUNTIF(Data!C5:C194,"Success")</f>
        <v>0</v>
      </c>
      <c r="D4" s="29">
        <f>COUNTIF(Data!F5:F19,"Success")</f>
        <v>0</v>
      </c>
      <c r="E4" s="29">
        <f>COUNTIF(Data!I5:I19,"Success")</f>
        <v>0</v>
      </c>
      <c r="F4" s="29">
        <f>COUNTIF(Data!L5:L19,"Success")</f>
        <v>0</v>
      </c>
      <c r="G4" s="29">
        <f>COUNTIF(Data!O5:O19,"Success")</f>
        <v>0</v>
      </c>
    </row>
    <row r="5" spans="2:7" ht="24" customHeight="1">
      <c r="B5" s="28" t="s">
        <v>65</v>
      </c>
      <c r="C5" s="30">
        <f>COUNTIF(Data!C5:C19,"Partial Fail")</f>
        <v>0</v>
      </c>
      <c r="D5" s="30">
        <f>COUNTIF(Data!F5:F19,"Partial Fail")</f>
        <v>0</v>
      </c>
      <c r="E5" s="30">
        <f>COUNTIF(Data!I5:I19,"Partial Fail")</f>
        <v>0</v>
      </c>
      <c r="F5" s="30">
        <f>COUNTIF(Data!L5:L19,"Partial Fail")</f>
        <v>0</v>
      </c>
      <c r="G5" s="30">
        <f>COUNTIF(Data!O5:O19,"Partial Fail")</f>
        <v>0</v>
      </c>
    </row>
    <row r="6" spans="2:7" ht="24" customHeight="1">
      <c r="B6" s="28" t="s">
        <v>66</v>
      </c>
      <c r="C6" s="29">
        <f>COUNTIF(Data!C5:C19,"Fail")</f>
        <v>0</v>
      </c>
      <c r="D6" s="29">
        <f>COUNTIF(Data!F5:F19,"Fail")</f>
        <v>0</v>
      </c>
      <c r="E6" s="29">
        <f>COUNTIF(Data!I5:I19,"Fail")</f>
        <v>0</v>
      </c>
      <c r="F6" s="29">
        <f>COUNTIF(Data!L5:L19,"Fail")</f>
        <v>0</v>
      </c>
      <c r="G6" s="29">
        <f>COUNTIF(Data!O5:O19,"Fail")</f>
        <v>0</v>
      </c>
    </row>
    <row r="7" spans="2:7" ht="24" customHeight="1">
      <c r="B7" s="28" t="s">
        <v>67</v>
      </c>
      <c r="C7" s="30">
        <f>COUNTIF(Data!C5:C19,"Time Limit")</f>
        <v>0</v>
      </c>
      <c r="D7" s="30">
        <f>COUNTIF(Data!F5:F19,"Time Limit")</f>
        <v>0</v>
      </c>
      <c r="E7" s="30">
        <f>COUNTIF(Data!I5:I19,"Time Limit")</f>
        <v>0</v>
      </c>
      <c r="F7" s="30">
        <f>COUNTIF(Data!L5:L19,"Time Limit")</f>
        <v>0</v>
      </c>
      <c r="G7" s="30">
        <f>COUNTIF(Data!O5:O19,"Time Limit")</f>
        <v>0</v>
      </c>
    </row>
    <row r="8" spans="2:7" ht="24" customHeight="1">
      <c r="B8" s="28" t="s">
        <v>68</v>
      </c>
      <c r="C8" s="29">
        <f>COUNTIF(Data!C5:C19,"Give Up")</f>
        <v>0</v>
      </c>
      <c r="D8" s="29">
        <f>COUNTIF(Data!F5:F19,"Give Up")</f>
        <v>0</v>
      </c>
      <c r="E8" s="29">
        <f>COUNTIF(Data!I5:I19,"Give Up")</f>
        <v>0</v>
      </c>
      <c r="F8" s="29">
        <f>COUNTIF(Data!L5:L19,"Give Up")</f>
        <v>0</v>
      </c>
      <c r="G8" s="29">
        <f>COUNTIF(Data!O5:O19,"Give Up")</f>
        <v>0</v>
      </c>
    </row>
    <row r="9" spans="2:7" ht="24" customHeight="1">
      <c r="B9" s="28" t="s">
        <v>69</v>
      </c>
      <c r="C9" s="30">
        <f>COUNTIF(Data!C5:C19,"Technical Issues")</f>
        <v>0</v>
      </c>
      <c r="D9" s="30">
        <f>COUNTIF(Data!F5:F19,"Technical Issues")</f>
        <v>0</v>
      </c>
      <c r="E9" s="30">
        <f>COUNTIF(Data!I5:I19,"Technical Issues")</f>
        <v>0</v>
      </c>
      <c r="F9" s="30">
        <f>COUNTIF(Data!L5:L19,"Technical Issues")</f>
        <v>0</v>
      </c>
      <c r="G9" s="30">
        <f>COUNTIF(Data!O5:O19,"Technical Issues")</f>
        <v>0</v>
      </c>
    </row>
    <row r="10" spans="2:7" ht="24" customHeight="1">
      <c r="B10" s="28" t="s">
        <v>70</v>
      </c>
      <c r="C10" s="29">
        <f>COUNTIF(Data!C5:C19,"Other")</f>
        <v>0</v>
      </c>
      <c r="D10" s="29">
        <f>COUNTIF(Data!F5:F19,"Other")</f>
        <v>0</v>
      </c>
      <c r="E10" s="29">
        <f>COUNTIF(Data!I5:I19,"Other")</f>
        <v>0</v>
      </c>
      <c r="F10" s="29">
        <f>COUNTIF(Data!L5:L19,"Other")</f>
        <v>0</v>
      </c>
      <c r="G10" s="29">
        <f>COUNTIF(Data!O5:O19,"Other")</f>
        <v>0</v>
      </c>
    </row>
    <row r="11" spans="2:7" ht="33.75" customHeight="1">
      <c r="B11" s="28" t="s">
        <v>71</v>
      </c>
      <c r="C11" s="30">
        <f>COUNTA(Data!C5:C19)</f>
        <v>0</v>
      </c>
      <c r="D11" s="30">
        <f>COUNTA(Data!F5:F19)</f>
        <v>0</v>
      </c>
      <c r="E11" s="30">
        <f>COUNTA(Data!I5:I19)</f>
        <v>0</v>
      </c>
      <c r="F11" s="30">
        <f>COUNTA(Data!L5:L19)</f>
        <v>0</v>
      </c>
      <c r="G11" s="30">
        <f>COUNTA(Data!O5:O19)</f>
        <v>0</v>
      </c>
    </row>
    <row r="12" spans="2:7" ht="17.25" customHeight="1">
      <c r="B12" s="28" t="s">
        <v>72</v>
      </c>
      <c r="C12" s="31" t="str">
        <f>IFERROR(COUNTIF(Data!C5:C19,"Success")/COUNTA(Data!C5:C19),"")</f>
        <v/>
      </c>
      <c r="D12" s="31" t="str">
        <f>IFERROR(COUNTIF(Data!F5:F19,"Success")/COUNTA(Data!F5:F19),"")</f>
        <v/>
      </c>
      <c r="E12" s="31" t="str">
        <f>IFERROR(COUNTIF(Data!I5:I19,"Success")/COUNTA(Data!I5:I19),"")</f>
        <v/>
      </c>
      <c r="F12" s="31" t="str">
        <f>IFERROR(COUNTIF(Data!L5:L19,"Success")/COUNTA(Data!L5:L19),"")</f>
        <v/>
      </c>
      <c r="G12" s="31" t="str">
        <f>IFERROR(COUNTIF(Data!O5:O19,"Success")/COUNTA(Data!O5:O19),"")</f>
        <v/>
      </c>
    </row>
    <row r="14" spans="2:7" ht="24" customHeight="1">
      <c r="B14" s="83" t="s">
        <v>73</v>
      </c>
      <c r="C14" s="83"/>
      <c r="D14" s="83"/>
      <c r="E14" s="83"/>
      <c r="F14" s="83"/>
      <c r="G14" s="83"/>
    </row>
    <row r="15" spans="2:7" ht="30" customHeight="1">
      <c r="B15" s="28" t="s">
        <v>74</v>
      </c>
      <c r="C15" s="84"/>
      <c r="D15" s="86"/>
      <c r="E15" s="86"/>
      <c r="F15" s="86"/>
      <c r="G15" s="86"/>
    </row>
    <row r="16" spans="2:7" ht="30" customHeight="1">
      <c r="B16" s="28" t="s">
        <v>75</v>
      </c>
      <c r="C16" s="85"/>
      <c r="D16" s="85"/>
      <c r="E16" s="85"/>
      <c r="F16" s="85"/>
      <c r="G16" s="85"/>
    </row>
    <row r="17" spans="2:7" ht="30" customHeight="1">
      <c r="B17" s="28" t="s">
        <v>76</v>
      </c>
      <c r="C17" s="87" t="str">
        <f>IFERROR(AVERAGE(C13:G13),"")</f>
        <v/>
      </c>
      <c r="D17" s="87"/>
      <c r="E17" s="87"/>
      <c r="F17" s="87"/>
      <c r="G17" s="87"/>
    </row>
    <row r="18" spans="2:7" ht="30" customHeight="1">
      <c r="B18" s="28" t="s">
        <v>77</v>
      </c>
      <c r="C18" s="85"/>
      <c r="D18" s="85"/>
      <c r="E18" s="85"/>
      <c r="F18" s="85"/>
      <c r="G18" s="85"/>
    </row>
    <row r="19" spans="2:7" ht="30" customHeight="1">
      <c r="B19" s="28" t="s">
        <v>78</v>
      </c>
      <c r="C19" s="84"/>
      <c r="D19" s="84"/>
      <c r="E19" s="84"/>
      <c r="F19" s="84"/>
      <c r="G19" s="84"/>
    </row>
    <row r="20" spans="2:7" ht="30" customHeight="1">
      <c r="B20" s="28" t="s">
        <v>79</v>
      </c>
      <c r="C20" s="85"/>
      <c r="D20" s="85"/>
      <c r="E20" s="85"/>
      <c r="F20" s="85"/>
      <c r="G20" s="85"/>
    </row>
    <row r="21" spans="2:7" ht="30" customHeight="1">
      <c r="B21" s="28" t="s">
        <v>80</v>
      </c>
      <c r="C21" s="84"/>
      <c r="D21" s="84"/>
      <c r="E21" s="84"/>
      <c r="F21" s="84"/>
      <c r="G21" s="84"/>
    </row>
    <row r="22" spans="2:7" ht="30" customHeight="1">
      <c r="B22" s="28" t="s">
        <v>81</v>
      </c>
      <c r="C22" s="85"/>
      <c r="D22" s="85"/>
      <c r="E22" s="85"/>
      <c r="F22" s="85"/>
      <c r="G22" s="85"/>
    </row>
    <row r="26" spans="2:7" ht="45.75" customHeight="1"/>
    <row r="35" spans="3:3">
      <c r="C35" t="s">
        <v>34</v>
      </c>
    </row>
    <row r="53" spans="3:3">
      <c r="C53" t="s">
        <v>49</v>
      </c>
    </row>
    <row r="55" spans="3:3">
      <c r="C55" t="s">
        <v>51</v>
      </c>
    </row>
    <row r="56" spans="3:3">
      <c r="C56" t="s">
        <v>52</v>
      </c>
    </row>
  </sheetData>
  <mergeCells count="11">
    <mergeCell ref="B1:G1"/>
    <mergeCell ref="B2:G2"/>
    <mergeCell ref="B14:G14"/>
    <mergeCell ref="C21:G21"/>
    <mergeCell ref="C22:G22"/>
    <mergeCell ref="C15:G15"/>
    <mergeCell ref="C16:G16"/>
    <mergeCell ref="C17:G17"/>
    <mergeCell ref="C18:G18"/>
    <mergeCell ref="C19:G19"/>
    <mergeCell ref="C20:G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3"/>
  <sheetViews>
    <sheetView showGridLines="0" zoomScaleNormal="100" workbookViewId="0">
      <pane xSplit="1" ySplit="2" topLeftCell="B3" activePane="bottomRight" state="frozen"/>
      <selection pane="bottomRight" activeCell="C14" sqref="C14"/>
      <selection pane="bottomLeft" activeCell="A4" sqref="A4"/>
      <selection pane="topRight" activeCell="B1" sqref="B1"/>
    </sheetView>
  </sheetViews>
  <sheetFormatPr defaultColWidth="8.7109375" defaultRowHeight="15"/>
  <cols>
    <col min="1" max="1" width="4" customWidth="1"/>
    <col min="2" max="2" width="28" customWidth="1"/>
    <col min="3" max="3" width="47.7109375" customWidth="1"/>
    <col min="4" max="4" width="42.140625" customWidth="1"/>
    <col min="5" max="5" width="52.140625" customWidth="1"/>
    <col min="6" max="6" width="22" customWidth="1"/>
  </cols>
  <sheetData>
    <row r="1" spans="2:6" ht="39.75" customHeight="1">
      <c r="B1" s="75" t="s">
        <v>82</v>
      </c>
      <c r="C1" s="75"/>
      <c r="D1" s="75"/>
      <c r="E1" s="75"/>
      <c r="F1" s="75"/>
    </row>
    <row r="2" spans="2:6" ht="24" customHeight="1">
      <c r="B2" s="83" t="s">
        <v>83</v>
      </c>
      <c r="C2" s="83"/>
      <c r="D2" s="83"/>
      <c r="E2" s="83"/>
      <c r="F2" s="83"/>
    </row>
    <row r="3" spans="2:6" ht="21.75" customHeight="1">
      <c r="B3" s="28" t="s">
        <v>84</v>
      </c>
      <c r="C3" s="84" t="s">
        <v>85</v>
      </c>
      <c r="D3" s="84"/>
      <c r="E3" s="84"/>
      <c r="F3" s="84"/>
    </row>
    <row r="4" spans="2:6" ht="21.75" customHeight="1">
      <c r="B4" s="28" t="s">
        <v>86</v>
      </c>
      <c r="C4" s="88" t="s">
        <v>87</v>
      </c>
      <c r="D4" s="88"/>
      <c r="E4" s="88"/>
      <c r="F4" s="88"/>
    </row>
    <row r="5" spans="2:6" ht="21.75" customHeight="1">
      <c r="B5" s="28" t="s">
        <v>88</v>
      </c>
      <c r="C5" s="84" t="s">
        <v>89</v>
      </c>
      <c r="D5" s="84"/>
      <c r="E5" s="84"/>
      <c r="F5" s="84"/>
    </row>
    <row r="6" spans="2:6" ht="21.75" customHeight="1">
      <c r="B6" s="28" t="s">
        <v>90</v>
      </c>
      <c r="C6" s="1" t="s">
        <v>91</v>
      </c>
      <c r="D6" s="1"/>
      <c r="E6" s="1"/>
      <c r="F6" s="1"/>
    </row>
    <row r="7" spans="2:6" ht="21.75" customHeight="1">
      <c r="B7" s="28" t="s">
        <v>92</v>
      </c>
      <c r="C7" s="84" t="s">
        <v>93</v>
      </c>
      <c r="D7" s="84"/>
      <c r="E7" s="84"/>
      <c r="F7" s="84"/>
    </row>
    <row r="8" spans="2:6" ht="21.75" customHeight="1">
      <c r="B8" s="28" t="s">
        <v>94</v>
      </c>
      <c r="C8" s="84" t="s">
        <v>95</v>
      </c>
      <c r="D8" s="84"/>
      <c r="E8" s="84"/>
      <c r="F8" s="84"/>
    </row>
    <row r="10" spans="2:6" ht="24" customHeight="1">
      <c r="B10" s="83" t="s">
        <v>96</v>
      </c>
      <c r="C10" s="83"/>
      <c r="D10" s="83"/>
      <c r="E10" s="83"/>
      <c r="F10" s="83"/>
    </row>
    <row r="11" spans="2:6" ht="30" customHeight="1">
      <c r="B11" s="22" t="s">
        <v>97</v>
      </c>
      <c r="C11" s="22" t="s">
        <v>98</v>
      </c>
      <c r="D11" s="22" t="s">
        <v>99</v>
      </c>
      <c r="E11" s="22" t="s">
        <v>100</v>
      </c>
      <c r="F11" s="22" t="s">
        <v>101</v>
      </c>
    </row>
    <row r="12" spans="2:6" ht="42" customHeight="1">
      <c r="B12" s="32" t="s">
        <v>102</v>
      </c>
      <c r="C12" s="33" t="s">
        <v>103</v>
      </c>
      <c r="D12" s="33" t="s">
        <v>104</v>
      </c>
      <c r="E12" s="33" t="s">
        <v>105</v>
      </c>
      <c r="F12" s="32" t="s">
        <v>106</v>
      </c>
    </row>
    <row r="13" spans="2:6" ht="92.25" customHeight="1">
      <c r="B13" s="34" t="s">
        <v>107</v>
      </c>
      <c r="C13" s="35" t="s">
        <v>108</v>
      </c>
      <c r="D13" s="35" t="s">
        <v>109</v>
      </c>
      <c r="E13" s="35" t="s">
        <v>110</v>
      </c>
      <c r="F13" s="34" t="s">
        <v>106</v>
      </c>
    </row>
    <row r="14" spans="2:6" ht="42" customHeight="1">
      <c r="B14" s="32" t="s">
        <v>111</v>
      </c>
      <c r="C14" s="33" t="s">
        <v>112</v>
      </c>
      <c r="D14" s="33" t="s">
        <v>113</v>
      </c>
      <c r="E14" s="33" t="s">
        <v>114</v>
      </c>
      <c r="F14" s="32" t="s">
        <v>115</v>
      </c>
    </row>
    <row r="15" spans="2:6" ht="61.5" customHeight="1">
      <c r="B15" s="34" t="s">
        <v>116</v>
      </c>
      <c r="C15" s="35" t="s">
        <v>117</v>
      </c>
      <c r="D15" s="35"/>
      <c r="E15" s="35"/>
      <c r="F15" s="34" t="s">
        <v>115</v>
      </c>
    </row>
    <row r="16" spans="2:6" ht="42" customHeight="1">
      <c r="B16" s="32" t="s">
        <v>118</v>
      </c>
      <c r="C16" s="33" t="s">
        <v>119</v>
      </c>
      <c r="D16" s="33"/>
      <c r="E16" s="33"/>
      <c r="F16" s="32"/>
    </row>
    <row r="18" spans="2:6" ht="24" customHeight="1">
      <c r="B18" s="83" t="s">
        <v>120</v>
      </c>
      <c r="C18" s="83"/>
      <c r="D18" s="83"/>
      <c r="E18" s="83"/>
      <c r="F18" s="83"/>
    </row>
    <row r="19" spans="2:6" ht="15" customHeight="1">
      <c r="B19" s="22" t="s">
        <v>58</v>
      </c>
      <c r="C19" s="22" t="s">
        <v>121</v>
      </c>
      <c r="D19" s="89" t="s">
        <v>122</v>
      </c>
      <c r="E19" s="89"/>
      <c r="F19" s="89"/>
    </row>
    <row r="20" spans="2:6" ht="30" customHeight="1">
      <c r="B20" s="33" t="s">
        <v>123</v>
      </c>
      <c r="C20" s="33" t="s">
        <v>124</v>
      </c>
      <c r="D20" s="84" t="s">
        <v>125</v>
      </c>
      <c r="E20" s="84"/>
      <c r="F20" s="84"/>
    </row>
    <row r="21" spans="2:6" ht="30" customHeight="1">
      <c r="B21" s="35" t="s">
        <v>126</v>
      </c>
      <c r="C21" s="35" t="s">
        <v>127</v>
      </c>
      <c r="D21" s="85" t="s">
        <v>128</v>
      </c>
      <c r="E21" s="85"/>
      <c r="F21" s="85"/>
    </row>
    <row r="22" spans="2:6" ht="30" customHeight="1">
      <c r="B22" s="33" t="s">
        <v>129</v>
      </c>
      <c r="C22" s="33" t="s">
        <v>130</v>
      </c>
      <c r="D22" s="84" t="s">
        <v>131</v>
      </c>
      <c r="E22" s="84"/>
      <c r="F22" s="84"/>
    </row>
    <row r="23" spans="2:6" ht="30" customHeight="1">
      <c r="B23" s="35" t="s">
        <v>132</v>
      </c>
      <c r="C23" s="35" t="s">
        <v>133</v>
      </c>
      <c r="D23" s="85" t="s">
        <v>134</v>
      </c>
      <c r="E23" s="85"/>
      <c r="F23" s="85"/>
    </row>
  </sheetData>
  <mergeCells count="14">
    <mergeCell ref="D20:F20"/>
    <mergeCell ref="D21:F21"/>
    <mergeCell ref="D22:F22"/>
    <mergeCell ref="D23:F23"/>
    <mergeCell ref="C7:F7"/>
    <mergeCell ref="C8:F8"/>
    <mergeCell ref="B10:F10"/>
    <mergeCell ref="B18:F18"/>
    <mergeCell ref="D19:F19"/>
    <mergeCell ref="B1:F1"/>
    <mergeCell ref="B2:F2"/>
    <mergeCell ref="C3:F3"/>
    <mergeCell ref="C4:F4"/>
    <mergeCell ref="C5:F5"/>
  </mergeCells>
  <hyperlinks>
    <hyperlink ref="C4:F4" r:id="rId1" display="https://ircc.canada.ca/francais/nouveaux/services/index.asp" xr:uid="{A75EEBC2-6BD3-43B3-8079-E81F14762657}"/>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1"/>
  <sheetViews>
    <sheetView showGridLines="0" tabSelected="1" zoomScaleNormal="100" workbookViewId="0">
      <pane xSplit="1" ySplit="3" topLeftCell="D6" activePane="bottomRight" state="frozen"/>
      <selection pane="bottomRight" activeCell="F8" sqref="F8"/>
      <selection pane="bottomLeft" activeCell="A4" sqref="A4"/>
      <selection pane="topRight" activeCell="B1" sqref="B1"/>
    </sheetView>
  </sheetViews>
  <sheetFormatPr defaultColWidth="8.7109375" defaultRowHeight="15"/>
  <cols>
    <col min="1" max="1" width="4" customWidth="1"/>
    <col min="2" max="2" width="6" customWidth="1"/>
    <col min="3" max="3" width="20.7109375" customWidth="1"/>
    <col min="4" max="4" width="37.7109375" customWidth="1"/>
    <col min="5" max="5" width="55.85546875" customWidth="1"/>
    <col min="6" max="6" width="83.5703125" customWidth="1"/>
    <col min="7" max="7" width="22" customWidth="1"/>
    <col min="8" max="9" width="16" customWidth="1"/>
    <col min="10" max="10" width="26" customWidth="1"/>
  </cols>
  <sheetData>
    <row r="1" spans="2:10" ht="39.75" customHeight="1">
      <c r="B1" s="75" t="s">
        <v>135</v>
      </c>
      <c r="C1" s="75"/>
      <c r="D1" s="75"/>
      <c r="E1" s="75"/>
      <c r="F1" s="75"/>
      <c r="G1" s="75"/>
      <c r="H1" s="75"/>
      <c r="I1" s="75"/>
      <c r="J1" s="75"/>
    </row>
    <row r="2" spans="2:10" ht="21.75" customHeight="1">
      <c r="B2" s="76" t="s">
        <v>136</v>
      </c>
      <c r="C2" s="76"/>
      <c r="D2" s="76"/>
      <c r="E2" s="76"/>
      <c r="F2" s="76"/>
      <c r="G2" s="76"/>
      <c r="H2" s="76"/>
      <c r="I2" s="76"/>
      <c r="J2" s="76"/>
    </row>
    <row r="3" spans="2:10" ht="33.75" customHeight="1">
      <c r="B3" s="22" t="s">
        <v>137</v>
      </c>
      <c r="C3" s="22" t="s">
        <v>138</v>
      </c>
      <c r="D3" s="22" t="s">
        <v>139</v>
      </c>
      <c r="E3" s="22" t="s">
        <v>140</v>
      </c>
      <c r="F3" s="22" t="s">
        <v>141</v>
      </c>
      <c r="G3" s="22" t="s">
        <v>142</v>
      </c>
      <c r="H3" s="22" t="s">
        <v>143</v>
      </c>
      <c r="I3" s="22" t="s">
        <v>144</v>
      </c>
      <c r="J3" s="22" t="s">
        <v>145</v>
      </c>
    </row>
    <row r="4" spans="2:10" ht="225" customHeight="1">
      <c r="B4" s="32" t="s">
        <v>146</v>
      </c>
      <c r="C4" s="33" t="s">
        <v>147</v>
      </c>
      <c r="D4" s="33" t="s">
        <v>148</v>
      </c>
      <c r="E4" s="33" t="s">
        <v>149</v>
      </c>
      <c r="F4" s="72" t="s">
        <v>150</v>
      </c>
      <c r="G4" s="33" t="s">
        <v>151</v>
      </c>
      <c r="H4" s="32" t="s">
        <v>152</v>
      </c>
      <c r="I4" s="32" t="s">
        <v>153</v>
      </c>
      <c r="J4" s="33" t="s">
        <v>154</v>
      </c>
    </row>
    <row r="5" spans="2:10" ht="169.5" customHeight="1">
      <c r="B5" s="34" t="s">
        <v>155</v>
      </c>
      <c r="C5" s="35" t="s">
        <v>156</v>
      </c>
      <c r="D5" s="35" t="s">
        <v>157</v>
      </c>
      <c r="E5" s="35" t="s">
        <v>158</v>
      </c>
      <c r="F5" s="74" t="s">
        <v>159</v>
      </c>
      <c r="G5" s="35"/>
      <c r="H5" s="34"/>
      <c r="I5" s="34"/>
      <c r="J5" s="35"/>
    </row>
    <row r="6" spans="2:10" ht="183.75" customHeight="1">
      <c r="B6" s="32" t="s">
        <v>160</v>
      </c>
      <c r="C6" s="33" t="s">
        <v>161</v>
      </c>
      <c r="D6" s="33" t="s">
        <v>162</v>
      </c>
      <c r="E6" s="33" t="s">
        <v>163</v>
      </c>
      <c r="F6" s="72" t="s">
        <v>164</v>
      </c>
      <c r="G6" s="33"/>
      <c r="H6" s="32"/>
      <c r="I6" s="32"/>
      <c r="J6" s="33"/>
    </row>
    <row r="7" spans="2:10" ht="198" customHeight="1">
      <c r="B7" s="34" t="s">
        <v>165</v>
      </c>
      <c r="C7" s="35" t="s">
        <v>166</v>
      </c>
      <c r="D7" s="35" t="s">
        <v>167</v>
      </c>
      <c r="E7" s="35" t="s">
        <v>168</v>
      </c>
      <c r="F7" s="73" t="s">
        <v>169</v>
      </c>
      <c r="G7" s="35"/>
      <c r="H7" s="34"/>
      <c r="I7" s="34"/>
      <c r="J7" s="35"/>
    </row>
    <row r="8" spans="2:10" ht="189" customHeight="1">
      <c r="B8" s="32" t="s">
        <v>170</v>
      </c>
      <c r="C8" s="33" t="s">
        <v>171</v>
      </c>
      <c r="D8" s="33" t="s">
        <v>172</v>
      </c>
      <c r="E8" s="33" t="s">
        <v>173</v>
      </c>
      <c r="F8" s="72" t="s">
        <v>174</v>
      </c>
      <c r="G8" s="33"/>
      <c r="H8" s="32"/>
      <c r="I8" s="32"/>
      <c r="J8" s="33"/>
    </row>
    <row r="9" spans="2:10" ht="51.75" customHeight="1">
      <c r="B9" s="35"/>
      <c r="C9" s="35"/>
      <c r="D9" s="35"/>
      <c r="E9" s="35"/>
      <c r="F9" s="35"/>
      <c r="G9" s="35"/>
      <c r="H9" s="35"/>
      <c r="I9" s="35"/>
      <c r="J9" s="35"/>
    </row>
    <row r="10" spans="2:10" ht="51.75" customHeight="1">
      <c r="B10" s="33"/>
      <c r="C10" s="33"/>
      <c r="D10" s="33"/>
      <c r="E10" s="33"/>
      <c r="F10" s="33"/>
      <c r="G10" s="33"/>
      <c r="H10" s="33"/>
      <c r="I10" s="33"/>
      <c r="J10" s="33"/>
    </row>
    <row r="11" spans="2:10" ht="51.75" customHeight="1">
      <c r="B11" s="35"/>
      <c r="C11" s="35"/>
      <c r="D11" s="35"/>
      <c r="E11" s="35"/>
      <c r="F11" s="35"/>
      <c r="G11" s="35"/>
      <c r="H11" s="35"/>
      <c r="I11" s="35"/>
      <c r="J11" s="35"/>
    </row>
  </sheetData>
  <mergeCells count="2">
    <mergeCell ref="B1:J1"/>
    <mergeCell ref="B2:J2"/>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26"/>
  <sheetViews>
    <sheetView showGridLines="0" zoomScaleNormal="100" workbookViewId="0">
      <pane xSplit="1" ySplit="15" topLeftCell="B16" activePane="bottomRight" state="frozen"/>
      <selection pane="bottomRight" activeCell="C7" sqref="C7:L7"/>
      <selection pane="bottomLeft" activeCell="A16" sqref="A16"/>
      <selection pane="topRight" activeCell="B1" sqref="B1"/>
    </sheetView>
  </sheetViews>
  <sheetFormatPr defaultColWidth="8.7109375" defaultRowHeight="15"/>
  <cols>
    <col min="1" max="1" width="4" customWidth="1"/>
    <col min="2" max="2" width="20.7109375" customWidth="1"/>
    <col min="3" max="3" width="20" customWidth="1"/>
    <col min="4" max="4" width="12" customWidth="1"/>
    <col min="5" max="6" width="18" customWidth="1"/>
    <col min="7" max="8" width="14" customWidth="1"/>
    <col min="9" max="10" width="20" customWidth="1"/>
    <col min="11" max="12" width="26" customWidth="1"/>
  </cols>
  <sheetData>
    <row r="1" spans="2:12" ht="39.75" customHeight="1">
      <c r="B1" s="75" t="s">
        <v>175</v>
      </c>
      <c r="C1" s="75"/>
      <c r="D1" s="75"/>
      <c r="E1" s="75"/>
      <c r="F1" s="75"/>
      <c r="G1" s="75"/>
      <c r="H1" s="75"/>
      <c r="I1" s="75"/>
      <c r="J1" s="75"/>
      <c r="K1" s="75"/>
      <c r="L1" s="75"/>
    </row>
    <row r="2" spans="2:12" ht="21.75" customHeight="1">
      <c r="B2" s="76" t="s">
        <v>176</v>
      </c>
      <c r="C2" s="76"/>
      <c r="D2" s="76"/>
      <c r="E2" s="76"/>
      <c r="F2" s="76"/>
      <c r="G2" s="76"/>
      <c r="H2" s="76"/>
      <c r="I2" s="76"/>
      <c r="J2" s="76"/>
      <c r="K2" s="76"/>
      <c r="L2" s="76"/>
    </row>
    <row r="3" spans="2:12" ht="24" customHeight="1">
      <c r="B3" s="83" t="s">
        <v>177</v>
      </c>
      <c r="C3" s="83"/>
      <c r="D3" s="83"/>
      <c r="E3" s="83"/>
      <c r="F3" s="83"/>
      <c r="G3" s="83"/>
      <c r="H3" s="83"/>
      <c r="I3" s="83"/>
      <c r="J3" s="83"/>
      <c r="K3" s="83"/>
      <c r="L3" s="83"/>
    </row>
    <row r="4" spans="2:12" ht="24" customHeight="1">
      <c r="B4" s="28" t="s">
        <v>178</v>
      </c>
      <c r="C4" s="84" t="s">
        <v>179</v>
      </c>
      <c r="D4" s="84"/>
      <c r="E4" s="84"/>
      <c r="F4" s="84"/>
      <c r="G4" s="84"/>
      <c r="H4" s="84"/>
      <c r="I4" s="84"/>
      <c r="J4" s="84"/>
      <c r="K4" s="84"/>
      <c r="L4" s="84"/>
    </row>
    <row r="5" spans="2:12" ht="24" customHeight="1">
      <c r="B5" s="28" t="s">
        <v>180</v>
      </c>
      <c r="C5" s="85" t="s">
        <v>181</v>
      </c>
      <c r="D5" s="85"/>
      <c r="E5" s="85"/>
      <c r="F5" s="85"/>
      <c r="G5" s="85"/>
      <c r="H5" s="85"/>
      <c r="I5" s="85"/>
      <c r="J5" s="85"/>
      <c r="K5" s="85"/>
      <c r="L5" s="85"/>
    </row>
    <row r="6" spans="2:12" ht="24" customHeight="1">
      <c r="B6" s="28" t="s">
        <v>182</v>
      </c>
      <c r="C6" s="84" t="s">
        <v>183</v>
      </c>
      <c r="D6" s="84"/>
      <c r="E6" s="84"/>
      <c r="F6" s="84"/>
      <c r="G6" s="84"/>
      <c r="H6" s="84"/>
      <c r="I6" s="84"/>
      <c r="J6" s="84"/>
      <c r="K6" s="84"/>
      <c r="L6" s="84"/>
    </row>
    <row r="7" spans="2:12" ht="24" customHeight="1">
      <c r="B7" s="28" t="s">
        <v>184</v>
      </c>
      <c r="C7" s="85" t="s">
        <v>185</v>
      </c>
      <c r="D7" s="85"/>
      <c r="E7" s="85"/>
      <c r="F7" s="85"/>
      <c r="G7" s="85"/>
      <c r="H7" s="85"/>
      <c r="I7" s="85"/>
      <c r="J7" s="85"/>
      <c r="K7" s="85"/>
      <c r="L7" s="85"/>
    </row>
    <row r="8" spans="2:12" ht="24" customHeight="1">
      <c r="B8" s="28" t="s">
        <v>186</v>
      </c>
      <c r="C8" s="84" t="s">
        <v>187</v>
      </c>
      <c r="D8" s="84"/>
      <c r="E8" s="84"/>
      <c r="F8" s="84"/>
      <c r="G8" s="84"/>
      <c r="H8" s="84"/>
      <c r="I8" s="84"/>
      <c r="J8" s="84"/>
      <c r="K8" s="84"/>
      <c r="L8" s="84"/>
    </row>
    <row r="9" spans="2:12" ht="24" customHeight="1">
      <c r="B9" s="28" t="s">
        <v>188</v>
      </c>
      <c r="C9" s="85" t="s">
        <v>189</v>
      </c>
      <c r="D9" s="85"/>
      <c r="E9" s="85"/>
      <c r="F9" s="85"/>
      <c r="G9" s="85"/>
      <c r="H9" s="85"/>
      <c r="I9" s="85"/>
      <c r="J9" s="85"/>
      <c r="K9" s="85"/>
      <c r="L9" s="85"/>
    </row>
    <row r="10" spans="2:12" ht="24" customHeight="1">
      <c r="B10" s="28" t="s">
        <v>190</v>
      </c>
      <c r="C10" s="84" t="s">
        <v>191</v>
      </c>
      <c r="D10" s="84"/>
      <c r="E10" s="84"/>
      <c r="F10" s="84"/>
      <c r="G10" s="84"/>
      <c r="H10" s="84"/>
      <c r="I10" s="84"/>
      <c r="J10" s="84"/>
      <c r="K10" s="84"/>
      <c r="L10" s="84"/>
    </row>
    <row r="11" spans="2:12" ht="24" customHeight="1">
      <c r="B11" s="28" t="s">
        <v>192</v>
      </c>
      <c r="C11" s="85" t="s">
        <v>193</v>
      </c>
      <c r="D11" s="85"/>
      <c r="E11" s="85"/>
      <c r="F11" s="85"/>
      <c r="G11" s="85"/>
      <c r="H11" s="85"/>
      <c r="I11" s="85"/>
      <c r="J11" s="85"/>
      <c r="K11" s="85"/>
      <c r="L11" s="85"/>
    </row>
    <row r="12" spans="2:12" ht="24" customHeight="1">
      <c r="B12" s="28" t="s">
        <v>194</v>
      </c>
      <c r="C12" s="84" t="s">
        <v>195</v>
      </c>
      <c r="D12" s="84"/>
      <c r="E12" s="84"/>
      <c r="F12" s="84"/>
      <c r="G12" s="84"/>
      <c r="H12" s="84"/>
      <c r="I12" s="84"/>
      <c r="J12" s="84"/>
      <c r="K12" s="84"/>
      <c r="L12" s="84"/>
    </row>
    <row r="14" spans="2:12" ht="24" customHeight="1">
      <c r="B14" s="83" t="s">
        <v>196</v>
      </c>
      <c r="C14" s="83"/>
      <c r="D14" s="83"/>
      <c r="E14" s="83"/>
      <c r="F14" s="83"/>
      <c r="G14" s="83"/>
      <c r="H14" s="83"/>
      <c r="I14" s="83"/>
      <c r="J14" s="83"/>
      <c r="K14" s="83"/>
      <c r="L14" s="83"/>
    </row>
    <row r="15" spans="2:12" ht="30" customHeight="1">
      <c r="B15" s="22" t="s">
        <v>197</v>
      </c>
      <c r="C15" s="22" t="s">
        <v>198</v>
      </c>
      <c r="D15" s="22" t="s">
        <v>199</v>
      </c>
      <c r="E15" s="22" t="s">
        <v>200</v>
      </c>
      <c r="F15" s="22" t="s">
        <v>201</v>
      </c>
      <c r="G15" s="22" t="s">
        <v>202</v>
      </c>
      <c r="H15" s="22" t="s">
        <v>186</v>
      </c>
      <c r="I15" s="22" t="s">
        <v>182</v>
      </c>
      <c r="J15" s="22" t="s">
        <v>203</v>
      </c>
      <c r="K15" s="22" t="s">
        <v>204</v>
      </c>
      <c r="L15" s="22" t="s">
        <v>205</v>
      </c>
    </row>
    <row r="16" spans="2:12" ht="21.75" customHeight="1">
      <c r="B16" s="32" t="s">
        <v>206</v>
      </c>
      <c r="C16" s="33"/>
      <c r="D16" s="33"/>
      <c r="E16" s="33"/>
      <c r="F16" s="33"/>
      <c r="G16" s="33"/>
      <c r="H16" s="33"/>
      <c r="I16" s="33"/>
      <c r="J16" s="33"/>
      <c r="K16" s="33"/>
      <c r="L16" s="33"/>
    </row>
    <row r="17" spans="2:12" ht="21.75" customHeight="1">
      <c r="B17" s="34" t="s">
        <v>207</v>
      </c>
      <c r="C17" s="35"/>
      <c r="D17" s="35"/>
      <c r="E17" s="35"/>
      <c r="F17" s="35"/>
      <c r="G17" s="35"/>
      <c r="H17" s="35"/>
      <c r="I17" s="35"/>
      <c r="J17" s="35"/>
      <c r="K17" s="35"/>
      <c r="L17" s="35"/>
    </row>
    <row r="18" spans="2:12" ht="21.75" customHeight="1">
      <c r="B18" s="32" t="s">
        <v>208</v>
      </c>
      <c r="C18" s="33"/>
      <c r="D18" s="33"/>
      <c r="E18" s="33"/>
      <c r="F18" s="33"/>
      <c r="G18" s="33"/>
      <c r="H18" s="33"/>
      <c r="I18" s="33"/>
      <c r="J18" s="33"/>
      <c r="K18" s="33"/>
      <c r="L18" s="33"/>
    </row>
    <row r="19" spans="2:12" ht="21.75" customHeight="1">
      <c r="B19" s="34" t="s">
        <v>209</v>
      </c>
      <c r="C19" s="35"/>
      <c r="D19" s="35"/>
      <c r="E19" s="35"/>
      <c r="F19" s="35"/>
      <c r="G19" s="35"/>
      <c r="H19" s="35"/>
      <c r="I19" s="35"/>
      <c r="J19" s="35"/>
      <c r="K19" s="35"/>
      <c r="L19" s="35"/>
    </row>
    <row r="20" spans="2:12" ht="21.75" customHeight="1">
      <c r="B20" s="32" t="s">
        <v>210</v>
      </c>
      <c r="C20" s="33"/>
      <c r="D20" s="33"/>
      <c r="E20" s="33"/>
      <c r="F20" s="33"/>
      <c r="G20" s="33"/>
      <c r="H20" s="33"/>
      <c r="I20" s="33"/>
      <c r="J20" s="33"/>
      <c r="K20" s="33"/>
      <c r="L20" s="33"/>
    </row>
    <row r="21" spans="2:12" ht="21.75" customHeight="1">
      <c r="B21" s="34" t="s">
        <v>211</v>
      </c>
      <c r="C21" s="35"/>
      <c r="D21" s="35"/>
      <c r="E21" s="35"/>
      <c r="F21" s="35"/>
      <c r="G21" s="35"/>
      <c r="H21" s="35"/>
      <c r="I21" s="35"/>
      <c r="J21" s="35"/>
      <c r="K21" s="35"/>
      <c r="L21" s="35"/>
    </row>
    <row r="22" spans="2:12" ht="21.75" customHeight="1">
      <c r="B22" s="32" t="s">
        <v>212</v>
      </c>
      <c r="C22" s="33"/>
      <c r="D22" s="33"/>
      <c r="E22" s="33"/>
      <c r="F22" s="33"/>
      <c r="G22" s="33"/>
      <c r="H22" s="33"/>
      <c r="I22" s="33"/>
      <c r="J22" s="33"/>
      <c r="K22" s="33"/>
      <c r="L22" s="33"/>
    </row>
    <row r="23" spans="2:12" ht="21.75" customHeight="1">
      <c r="B23" s="34" t="s">
        <v>213</v>
      </c>
      <c r="C23" s="35"/>
      <c r="D23" s="35"/>
      <c r="E23" s="35"/>
      <c r="F23" s="35"/>
      <c r="G23" s="35"/>
      <c r="H23" s="35"/>
      <c r="I23" s="35"/>
      <c r="J23" s="35"/>
      <c r="K23" s="35"/>
      <c r="L23" s="35"/>
    </row>
    <row r="24" spans="2:12" ht="21.75" customHeight="1">
      <c r="B24" s="32" t="s">
        <v>214</v>
      </c>
      <c r="C24" s="33"/>
      <c r="D24" s="33"/>
      <c r="E24" s="33"/>
      <c r="F24" s="33"/>
      <c r="G24" s="33"/>
      <c r="H24" s="33"/>
      <c r="I24" s="33"/>
      <c r="J24" s="33"/>
      <c r="K24" s="33"/>
      <c r="L24" s="33"/>
    </row>
    <row r="25" spans="2:12" ht="21.75" customHeight="1">
      <c r="B25" s="34" t="s">
        <v>215</v>
      </c>
      <c r="C25" s="35"/>
      <c r="D25" s="35"/>
      <c r="E25" s="35"/>
      <c r="F25" s="35"/>
      <c r="G25" s="35"/>
      <c r="H25" s="35"/>
      <c r="I25" s="35"/>
      <c r="J25" s="35"/>
      <c r="K25" s="35"/>
      <c r="L25" s="35"/>
    </row>
    <row r="26" spans="2:12" ht="21.75" customHeight="1">
      <c r="B26" s="32" t="s">
        <v>216</v>
      </c>
      <c r="C26" s="33"/>
      <c r="D26" s="33"/>
      <c r="E26" s="33"/>
      <c r="F26" s="33"/>
      <c r="G26" s="33"/>
      <c r="H26" s="33"/>
      <c r="I26" s="33"/>
      <c r="J26" s="33"/>
      <c r="K26" s="33"/>
      <c r="L26" s="33"/>
    </row>
  </sheetData>
  <mergeCells count="13">
    <mergeCell ref="C11:L11"/>
    <mergeCell ref="C12:L12"/>
    <mergeCell ref="B14:L14"/>
    <mergeCell ref="C6:L6"/>
    <mergeCell ref="C7:L7"/>
    <mergeCell ref="C8:L8"/>
    <mergeCell ref="C9:L9"/>
    <mergeCell ref="C10:L10"/>
    <mergeCell ref="B1:L1"/>
    <mergeCell ref="B2:L2"/>
    <mergeCell ref="B3:L3"/>
    <mergeCell ref="C4:L4"/>
    <mergeCell ref="C5:L5"/>
  </mergeCells>
  <dataValidations count="4">
    <dataValidation type="list" allowBlank="1" sqref="E16:E26" xr:uid="{00000000-0002-0000-0400-000000000000}">
      <formula1>"Canada,United States,United Kingdom,Australia,Germany,France,Other"</formula1>
      <formula2>0</formula2>
    </dataValidation>
    <dataValidation type="list" allowBlank="1" sqref="F16:F26" xr:uid="{00000000-0002-0000-0400-000001000000}">
      <formula1>"Desktop,Laptop,Tablet,Smartphone (iOS),Smartphone (Android),Other"</formula1>
      <formula2>0</formula2>
    </dataValidation>
    <dataValidation type="list" allowBlank="1" sqref="G16:G26" xr:uid="{00000000-0002-0000-0400-000002000000}">
      <formula1>"Windows,macOS,iOS,Android,Linux,Other"</formula1>
      <formula2>0</formula2>
    </dataValidation>
    <dataValidation type="list" allowBlank="1" sqref="I16:I26" xr:uid="{00000000-0002-0000-0400-000003000000}">
      <formula1>"Low,Medium,High"</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5"/>
  <sheetViews>
    <sheetView showGridLines="0" zoomScaleNormal="100" workbookViewId="0">
      <pane xSplit="1" ySplit="4" topLeftCell="B5" activePane="bottomRight" state="frozen"/>
      <selection pane="bottomRight" activeCell="C16" sqref="C16"/>
      <selection pane="bottomLeft" activeCell="A5" sqref="A5"/>
      <selection pane="topRight" activeCell="C1" sqref="C1"/>
    </sheetView>
  </sheetViews>
  <sheetFormatPr defaultColWidth="8.7109375" defaultRowHeight="15"/>
  <cols>
    <col min="1" max="1" width="8" customWidth="1"/>
    <col min="2" max="2" width="12" customWidth="1"/>
    <col min="3" max="3" width="16" customWidth="1"/>
    <col min="4" max="4" width="30" customWidth="1"/>
    <col min="5" max="5" width="12" customWidth="1"/>
    <col min="6" max="6" width="16" customWidth="1"/>
    <col min="7" max="7" width="30" customWidth="1"/>
    <col min="8" max="8" width="12" customWidth="1"/>
    <col min="9" max="9" width="16" customWidth="1"/>
    <col min="10" max="10" width="30" customWidth="1"/>
    <col min="11" max="11" width="12" customWidth="1"/>
    <col min="12" max="12" width="16" customWidth="1"/>
    <col min="13" max="13" width="30" customWidth="1"/>
    <col min="14" max="14" width="12" customWidth="1"/>
    <col min="15" max="15" width="16" customWidth="1"/>
    <col min="16" max="16" width="30" customWidth="1"/>
  </cols>
  <sheetData>
    <row r="1" spans="1:16" ht="39.75" customHeight="1">
      <c r="A1" s="75" t="s">
        <v>217</v>
      </c>
      <c r="B1" s="75"/>
      <c r="C1" s="75"/>
      <c r="D1" s="75"/>
      <c r="E1" s="75"/>
      <c r="F1" s="75"/>
      <c r="G1" s="75"/>
      <c r="H1" s="75"/>
      <c r="I1" s="75"/>
      <c r="J1" s="75"/>
      <c r="K1" s="75"/>
      <c r="L1" s="75"/>
      <c r="M1" s="75"/>
      <c r="N1" s="75"/>
      <c r="O1" s="75"/>
      <c r="P1" s="75"/>
    </row>
    <row r="2" spans="1:16" ht="21.75" customHeight="1">
      <c r="A2" s="76" t="s">
        <v>218</v>
      </c>
      <c r="B2" s="76"/>
      <c r="C2" s="76"/>
      <c r="D2" s="76"/>
      <c r="E2" s="76"/>
      <c r="F2" s="76"/>
      <c r="G2" s="76"/>
      <c r="H2" s="76"/>
      <c r="I2" s="76"/>
      <c r="J2" s="76"/>
      <c r="K2" s="76"/>
      <c r="L2" s="76"/>
      <c r="M2" s="76"/>
      <c r="N2" s="76"/>
      <c r="O2" s="76"/>
      <c r="P2" s="76"/>
    </row>
    <row r="3" spans="1:16" ht="25.5" customHeight="1">
      <c r="A3" s="36"/>
      <c r="B3" s="90" t="s">
        <v>219</v>
      </c>
      <c r="C3" s="90"/>
      <c r="D3" s="90"/>
      <c r="E3" s="91" t="s">
        <v>220</v>
      </c>
      <c r="F3" s="91"/>
      <c r="G3" s="91"/>
      <c r="H3" s="92" t="s">
        <v>221</v>
      </c>
      <c r="I3" s="92"/>
      <c r="J3" s="92"/>
      <c r="K3" s="93" t="s">
        <v>222</v>
      </c>
      <c r="L3" s="93"/>
      <c r="M3" s="93"/>
      <c r="N3" s="94" t="s">
        <v>223</v>
      </c>
      <c r="O3" s="94"/>
      <c r="P3" s="94"/>
    </row>
    <row r="4" spans="1:16" ht="30" customHeight="1">
      <c r="A4" s="37" t="s">
        <v>197</v>
      </c>
      <c r="B4" s="23" t="s">
        <v>224</v>
      </c>
      <c r="C4" s="23" t="s">
        <v>225</v>
      </c>
      <c r="D4" s="23" t="s">
        <v>226</v>
      </c>
      <c r="E4" s="24" t="s">
        <v>224</v>
      </c>
      <c r="F4" s="24" t="s">
        <v>225</v>
      </c>
      <c r="G4" s="24" t="s">
        <v>226</v>
      </c>
      <c r="H4" s="25" t="s">
        <v>224</v>
      </c>
      <c r="I4" s="25" t="s">
        <v>225</v>
      </c>
      <c r="J4" s="25" t="s">
        <v>226</v>
      </c>
      <c r="K4" s="26" t="s">
        <v>224</v>
      </c>
      <c r="L4" s="26" t="s">
        <v>225</v>
      </c>
      <c r="M4" s="26" t="s">
        <v>226</v>
      </c>
      <c r="N4" s="27" t="s">
        <v>224</v>
      </c>
      <c r="O4" s="27" t="s">
        <v>225</v>
      </c>
      <c r="P4" s="27" t="s">
        <v>226</v>
      </c>
    </row>
    <row r="5" spans="1:16" ht="51.75" customHeight="1">
      <c r="A5" s="32" t="s">
        <v>206</v>
      </c>
      <c r="B5" s="32"/>
      <c r="C5" s="32"/>
      <c r="D5" s="33"/>
      <c r="E5" s="32"/>
      <c r="F5" s="32"/>
      <c r="G5" s="33"/>
      <c r="H5" s="32"/>
      <c r="I5" s="32"/>
      <c r="J5" s="33"/>
      <c r="K5" s="32"/>
      <c r="L5" s="32"/>
      <c r="M5" s="33"/>
      <c r="N5" s="32"/>
      <c r="O5" s="32"/>
      <c r="P5" s="33"/>
    </row>
    <row r="6" spans="1:16" ht="51.75" customHeight="1">
      <c r="A6" s="34" t="s">
        <v>207</v>
      </c>
      <c r="B6" s="34"/>
      <c r="C6" s="34"/>
      <c r="D6" s="35"/>
      <c r="E6" s="34"/>
      <c r="F6" s="34"/>
      <c r="G6" s="35"/>
      <c r="H6" s="34"/>
      <c r="I6" s="34"/>
      <c r="J6" s="35"/>
      <c r="K6" s="34"/>
      <c r="L6" s="34"/>
      <c r="M6" s="35"/>
      <c r="N6" s="34"/>
      <c r="O6" s="34"/>
      <c r="P6" s="35"/>
    </row>
    <row r="7" spans="1:16" ht="51.75" customHeight="1">
      <c r="A7" s="32" t="s">
        <v>208</v>
      </c>
      <c r="B7" s="32"/>
      <c r="C7" s="32"/>
      <c r="D7" s="33"/>
      <c r="E7" s="32"/>
      <c r="F7" s="32"/>
      <c r="G7" s="33"/>
      <c r="H7" s="32"/>
      <c r="I7" s="32"/>
      <c r="J7" s="33"/>
      <c r="K7" s="32"/>
      <c r="L7" s="32"/>
      <c r="M7" s="33"/>
      <c r="N7" s="32"/>
      <c r="O7" s="32"/>
      <c r="P7" s="33"/>
    </row>
    <row r="8" spans="1:16" ht="51.75" customHeight="1">
      <c r="A8" s="34" t="s">
        <v>209</v>
      </c>
      <c r="B8" s="34"/>
      <c r="C8" s="34"/>
      <c r="D8" s="35"/>
      <c r="E8" s="34"/>
      <c r="F8" s="34"/>
      <c r="G8" s="35"/>
      <c r="H8" s="34"/>
      <c r="I8" s="34"/>
      <c r="J8" s="35"/>
      <c r="K8" s="34"/>
      <c r="L8" s="34"/>
      <c r="M8" s="35"/>
      <c r="N8" s="34"/>
      <c r="O8" s="34"/>
      <c r="P8" s="35"/>
    </row>
    <row r="9" spans="1:16" ht="51.75" customHeight="1">
      <c r="A9" s="32" t="s">
        <v>210</v>
      </c>
      <c r="B9" s="32"/>
      <c r="C9" s="32"/>
      <c r="D9" s="33"/>
      <c r="E9" s="32"/>
      <c r="F9" s="32"/>
      <c r="G9" s="33"/>
      <c r="H9" s="32"/>
      <c r="I9" s="32"/>
      <c r="J9" s="33"/>
      <c r="K9" s="32"/>
      <c r="L9" s="32"/>
      <c r="M9" s="33"/>
      <c r="N9" s="32"/>
      <c r="O9" s="32"/>
      <c r="P9" s="33"/>
    </row>
    <row r="10" spans="1:16" ht="51.75" customHeight="1">
      <c r="A10" s="34" t="s">
        <v>211</v>
      </c>
      <c r="B10" s="34"/>
      <c r="C10" s="34"/>
      <c r="D10" s="35"/>
      <c r="E10" s="34"/>
      <c r="F10" s="34"/>
      <c r="G10" s="35"/>
      <c r="H10" s="34"/>
      <c r="I10" s="34"/>
      <c r="J10" s="35"/>
      <c r="K10" s="34"/>
      <c r="L10" s="34"/>
      <c r="M10" s="35"/>
      <c r="N10" s="34"/>
      <c r="O10" s="34"/>
      <c r="P10" s="35"/>
    </row>
    <row r="11" spans="1:16" ht="51.75" customHeight="1">
      <c r="A11" s="32" t="s">
        <v>212</v>
      </c>
      <c r="B11" s="32"/>
      <c r="C11" s="32"/>
      <c r="D11" s="33"/>
      <c r="E11" s="32"/>
      <c r="F11" s="32"/>
      <c r="G11" s="33"/>
      <c r="H11" s="32"/>
      <c r="I11" s="32"/>
      <c r="J11" s="33"/>
      <c r="K11" s="32"/>
      <c r="L11" s="32"/>
      <c r="M11" s="33"/>
      <c r="N11" s="32"/>
      <c r="O11" s="32"/>
      <c r="P11" s="33"/>
    </row>
    <row r="12" spans="1:16" ht="51.75" customHeight="1">
      <c r="A12" s="34" t="s">
        <v>213</v>
      </c>
      <c r="B12" s="34"/>
      <c r="C12" s="34"/>
      <c r="D12" s="35"/>
      <c r="E12" s="34"/>
      <c r="F12" s="34"/>
      <c r="G12" s="35"/>
      <c r="H12" s="34"/>
      <c r="I12" s="34"/>
      <c r="J12" s="35"/>
      <c r="K12" s="34"/>
      <c r="L12" s="34"/>
      <c r="M12" s="35"/>
      <c r="N12" s="34"/>
      <c r="O12" s="34"/>
      <c r="P12" s="35"/>
    </row>
    <row r="13" spans="1:16" ht="51.75" customHeight="1">
      <c r="A13" s="32" t="s">
        <v>214</v>
      </c>
      <c r="B13" s="32"/>
      <c r="C13" s="32"/>
      <c r="D13" s="33"/>
      <c r="E13" s="32"/>
      <c r="F13" s="32"/>
      <c r="G13" s="33"/>
      <c r="H13" s="32"/>
      <c r="I13" s="32"/>
      <c r="J13" s="33"/>
      <c r="K13" s="32"/>
      <c r="L13" s="32"/>
      <c r="M13" s="33"/>
      <c r="N13" s="32"/>
      <c r="O13" s="32"/>
      <c r="P13" s="33"/>
    </row>
    <row r="14" spans="1:16" ht="51.75" customHeight="1">
      <c r="A14" s="34" t="s">
        <v>215</v>
      </c>
      <c r="B14" s="34"/>
      <c r="C14" s="34"/>
      <c r="D14" s="35"/>
      <c r="E14" s="34"/>
      <c r="F14" s="34"/>
      <c r="G14" s="35"/>
      <c r="H14" s="34"/>
      <c r="I14" s="34"/>
      <c r="J14" s="35"/>
      <c r="K14" s="34"/>
      <c r="L14" s="34"/>
      <c r="M14" s="35"/>
      <c r="N14" s="34"/>
      <c r="O14" s="34"/>
      <c r="P14" s="35"/>
    </row>
    <row r="15" spans="1:16" ht="51.75" customHeight="1">
      <c r="A15" s="32" t="s">
        <v>216</v>
      </c>
      <c r="B15" s="32"/>
      <c r="C15" s="32"/>
      <c r="D15" s="33"/>
      <c r="E15" s="32"/>
      <c r="F15" s="32"/>
      <c r="G15" s="33"/>
      <c r="H15" s="32"/>
      <c r="I15" s="32"/>
      <c r="J15" s="33"/>
      <c r="K15" s="32"/>
      <c r="L15" s="32"/>
      <c r="M15" s="33"/>
      <c r="N15" s="32"/>
      <c r="O15" s="32"/>
      <c r="P15" s="33"/>
    </row>
    <row r="16" spans="1:16" ht="51.75" customHeight="1">
      <c r="A16" s="34" t="s">
        <v>227</v>
      </c>
      <c r="B16" s="34"/>
      <c r="C16" s="34"/>
      <c r="D16" s="35"/>
      <c r="E16" s="34"/>
      <c r="F16" s="34"/>
      <c r="G16" s="35"/>
      <c r="H16" s="34"/>
      <c r="I16" s="34"/>
      <c r="J16" s="35"/>
      <c r="K16" s="34"/>
      <c r="L16" s="34"/>
      <c r="M16" s="35"/>
      <c r="N16" s="34"/>
      <c r="O16" s="34"/>
      <c r="P16" s="35"/>
    </row>
    <row r="17" spans="1:16" ht="51.75" customHeight="1">
      <c r="A17" s="32" t="s">
        <v>228</v>
      </c>
      <c r="B17" s="32"/>
      <c r="C17" s="32"/>
      <c r="D17" s="33"/>
      <c r="E17" s="32"/>
      <c r="F17" s="32"/>
      <c r="G17" s="33"/>
      <c r="H17" s="32"/>
      <c r="I17" s="32"/>
      <c r="J17" s="33"/>
      <c r="K17" s="32"/>
      <c r="L17" s="32"/>
      <c r="M17" s="33"/>
      <c r="N17" s="32"/>
      <c r="O17" s="32"/>
      <c r="P17" s="33"/>
    </row>
    <row r="18" spans="1:16" ht="51.75" customHeight="1">
      <c r="A18" s="34" t="s">
        <v>229</v>
      </c>
      <c r="B18" s="34"/>
      <c r="C18" s="34"/>
      <c r="D18" s="35"/>
      <c r="E18" s="34"/>
      <c r="F18" s="34"/>
      <c r="G18" s="35"/>
      <c r="H18" s="34"/>
      <c r="I18" s="34"/>
      <c r="J18" s="35"/>
      <c r="K18" s="34"/>
      <c r="L18" s="34"/>
      <c r="M18" s="35"/>
      <c r="N18" s="34"/>
      <c r="O18" s="34"/>
      <c r="P18" s="35"/>
    </row>
    <row r="19" spans="1:16" ht="51.75" customHeight="1">
      <c r="A19" s="32" t="s">
        <v>230</v>
      </c>
      <c r="B19" s="32"/>
      <c r="C19" s="32"/>
      <c r="D19" s="33"/>
      <c r="E19" s="32"/>
      <c r="F19" s="32"/>
      <c r="G19" s="33"/>
      <c r="H19" s="32"/>
      <c r="I19" s="32"/>
      <c r="J19" s="33"/>
      <c r="K19" s="32"/>
      <c r="L19" s="32"/>
      <c r="M19" s="33"/>
      <c r="N19" s="32"/>
      <c r="O19" s="32"/>
      <c r="P19" s="33"/>
    </row>
    <row r="21" spans="1:16" ht="24" customHeight="1">
      <c r="A21" s="83" t="s">
        <v>231</v>
      </c>
      <c r="B21" s="83"/>
      <c r="C21" s="83"/>
      <c r="D21" s="83"/>
      <c r="E21" s="83"/>
      <c r="F21" s="83"/>
      <c r="G21" s="83"/>
      <c r="H21" s="83"/>
      <c r="I21" s="83"/>
      <c r="J21" s="83"/>
      <c r="K21" s="83"/>
      <c r="L21" s="83"/>
      <c r="M21" s="83"/>
      <c r="N21" s="83"/>
      <c r="O21" s="83"/>
      <c r="P21" s="83"/>
    </row>
    <row r="22" spans="1:16" ht="48" customHeight="1">
      <c r="A22" s="38" t="s">
        <v>64</v>
      </c>
      <c r="B22" s="95" t="s">
        <v>232</v>
      </c>
      <c r="C22" s="95"/>
      <c r="E22" s="39" t="s">
        <v>65</v>
      </c>
      <c r="F22" s="95" t="s">
        <v>233</v>
      </c>
      <c r="G22" s="95"/>
    </row>
    <row r="23" spans="1:16" ht="63.75" customHeight="1">
      <c r="A23" s="40" t="s">
        <v>66</v>
      </c>
      <c r="B23" s="96" t="s">
        <v>234</v>
      </c>
      <c r="C23" s="96"/>
      <c r="E23" s="41" t="s">
        <v>67</v>
      </c>
      <c r="F23" s="96" t="s">
        <v>235</v>
      </c>
      <c r="G23" s="96"/>
    </row>
    <row r="24" spans="1:16" ht="35.25" customHeight="1">
      <c r="A24" s="42" t="s">
        <v>68</v>
      </c>
      <c r="B24" s="95" t="s">
        <v>236</v>
      </c>
      <c r="C24" s="95"/>
      <c r="E24" s="43" t="s">
        <v>69</v>
      </c>
      <c r="F24" s="95" t="s">
        <v>237</v>
      </c>
      <c r="G24" s="95"/>
    </row>
    <row r="25" spans="1:16" ht="40.5" customHeight="1">
      <c r="A25" s="44" t="s">
        <v>70</v>
      </c>
      <c r="B25" s="96" t="s">
        <v>238</v>
      </c>
      <c r="C25" s="96"/>
    </row>
  </sheetData>
  <mergeCells count="15">
    <mergeCell ref="B24:C24"/>
    <mergeCell ref="F24:G24"/>
    <mergeCell ref="B25:C25"/>
    <mergeCell ref="A21:P21"/>
    <mergeCell ref="B22:C22"/>
    <mergeCell ref="F22:G22"/>
    <mergeCell ref="B23:C23"/>
    <mergeCell ref="F23:G23"/>
    <mergeCell ref="A1:P1"/>
    <mergeCell ref="A2:P2"/>
    <mergeCell ref="B3:D3"/>
    <mergeCell ref="E3:G3"/>
    <mergeCell ref="H3:J3"/>
    <mergeCell ref="K3:M3"/>
    <mergeCell ref="N3:P3"/>
  </mergeCells>
  <conditionalFormatting sqref="C5:C19">
    <cfRule type="expression" dxfId="34" priority="2">
      <formula>C5="Success"</formula>
    </cfRule>
    <cfRule type="expression" dxfId="33" priority="3">
      <formula>C5="Partial Fail"</formula>
    </cfRule>
    <cfRule type="expression" dxfId="32" priority="4">
      <formula>C5="Fail"</formula>
    </cfRule>
    <cfRule type="expression" dxfId="31" priority="5">
      <formula>C5="Time Limit"</formula>
    </cfRule>
    <cfRule type="expression" dxfId="30" priority="6">
      <formula>C5="Give Up"</formula>
    </cfRule>
    <cfRule type="expression" dxfId="29" priority="7">
      <formula>C5="Technical Issues"</formula>
    </cfRule>
    <cfRule type="expression" dxfId="28" priority="8">
      <formula>C5="Other"</formula>
    </cfRule>
  </conditionalFormatting>
  <conditionalFormatting sqref="F5:F19">
    <cfRule type="expression" dxfId="27" priority="9">
      <formula>F5="Success"</formula>
    </cfRule>
    <cfRule type="expression" dxfId="26" priority="10">
      <formula>F5="Partial Fail"</formula>
    </cfRule>
    <cfRule type="expression" dxfId="25" priority="11">
      <formula>F5="Fail"</formula>
    </cfRule>
    <cfRule type="expression" dxfId="24" priority="12">
      <formula>F5="Time Limit"</formula>
    </cfRule>
    <cfRule type="expression" dxfId="23" priority="13">
      <formula>F5="Give Up"</formula>
    </cfRule>
    <cfRule type="expression" dxfId="22" priority="14">
      <formula>F5="Technical Issues"</formula>
    </cfRule>
    <cfRule type="expression" dxfId="21" priority="15">
      <formula>F5="Other"</formula>
    </cfRule>
  </conditionalFormatting>
  <conditionalFormatting sqref="I5:I19">
    <cfRule type="expression" dxfId="20" priority="16">
      <formula>I5="Success"</formula>
    </cfRule>
    <cfRule type="expression" dxfId="19" priority="17">
      <formula>I5="Partial Fail"</formula>
    </cfRule>
    <cfRule type="expression" dxfId="18" priority="18">
      <formula>I5="Fail"</formula>
    </cfRule>
    <cfRule type="expression" dxfId="17" priority="19">
      <formula>I5="Time Limit"</formula>
    </cfRule>
    <cfRule type="expression" dxfId="16" priority="20">
      <formula>I5="Give Up"</formula>
    </cfRule>
    <cfRule type="expression" dxfId="15" priority="21">
      <formula>I5="Technical Issues"</formula>
    </cfRule>
    <cfRule type="expression" dxfId="14" priority="22">
      <formula>I5="Other"</formula>
    </cfRule>
  </conditionalFormatting>
  <conditionalFormatting sqref="L5:L19">
    <cfRule type="expression" dxfId="13" priority="23">
      <formula>L5="Success"</formula>
    </cfRule>
    <cfRule type="expression" dxfId="12" priority="24">
      <formula>L5="Partial Fail"</formula>
    </cfRule>
    <cfRule type="expression" dxfId="11" priority="25">
      <formula>L5="Fail"</formula>
    </cfRule>
    <cfRule type="expression" dxfId="10" priority="26">
      <formula>L5="Time Limit"</formula>
    </cfRule>
    <cfRule type="expression" dxfId="9" priority="27">
      <formula>L5="Give Up"</formula>
    </cfRule>
    <cfRule type="expression" dxfId="8" priority="28">
      <formula>L5="Technical Issues"</formula>
    </cfRule>
    <cfRule type="expression" dxfId="7" priority="29">
      <formula>L5="Other"</formula>
    </cfRule>
  </conditionalFormatting>
  <conditionalFormatting sqref="O5:O19">
    <cfRule type="expression" dxfId="6" priority="30">
      <formula>O5="Success"</formula>
    </cfRule>
    <cfRule type="expression" dxfId="5" priority="31">
      <formula>O5="Partial Fail"</formula>
    </cfRule>
    <cfRule type="expression" dxfId="4" priority="32">
      <formula>O5="Fail"</formula>
    </cfRule>
    <cfRule type="expression" dxfId="3" priority="33">
      <formula>O5="Time Limit"</formula>
    </cfRule>
    <cfRule type="expression" dxfId="2" priority="34">
      <formula>O5="Give Up"</formula>
    </cfRule>
    <cfRule type="expression" dxfId="1" priority="35">
      <formula>O5="Technical Issues"</formula>
    </cfRule>
    <cfRule type="expression" dxfId="0" priority="36">
      <formula>O5="Other"</formula>
    </cfRule>
  </conditionalFormatting>
  <dataValidations count="1">
    <dataValidation type="list" allowBlank="1" sqref="F5:F19 I5:I19 L5:L19 O5:O19 C5:C19" xr:uid="{00000000-0002-0000-0500-000000000000}">
      <formula1>"Success,Partial Fail,Fail,Time Limit,Give Up,Technical Issues,Other"</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9"/>
  <sheetViews>
    <sheetView showGridLines="0" zoomScaleNormal="100" workbookViewId="0">
      <pane xSplit="2" ySplit="3" topLeftCell="C4" activePane="bottomRight" state="frozen"/>
      <selection pane="bottomRight"/>
      <selection pane="bottomLeft" activeCell="A4" sqref="A4"/>
      <selection pane="topRight" activeCell="C1" sqref="C1"/>
    </sheetView>
  </sheetViews>
  <sheetFormatPr defaultColWidth="8.7109375" defaultRowHeight="15"/>
  <cols>
    <col min="1" max="1" width="4" customWidth="1"/>
    <col min="2" max="2" width="22" customWidth="1"/>
    <col min="3" max="7" width="32" customWidth="1"/>
  </cols>
  <sheetData>
    <row r="1" spans="2:7" ht="39.75" customHeight="1">
      <c r="B1" s="75" t="s">
        <v>239</v>
      </c>
      <c r="C1" s="75"/>
      <c r="D1" s="75"/>
      <c r="E1" s="75"/>
      <c r="F1" s="75"/>
      <c r="G1" s="75"/>
    </row>
    <row r="2" spans="2:7" ht="21.75" customHeight="1">
      <c r="B2" s="76" t="s">
        <v>240</v>
      </c>
      <c r="C2" s="76"/>
      <c r="D2" s="76"/>
      <c r="E2" s="76"/>
      <c r="F2" s="76"/>
      <c r="G2" s="76"/>
    </row>
    <row r="3" spans="2:7" ht="30" customHeight="1">
      <c r="B3" s="22" t="s">
        <v>241</v>
      </c>
      <c r="C3" s="23" t="s">
        <v>59</v>
      </c>
      <c r="D3" s="24" t="s">
        <v>60</v>
      </c>
      <c r="E3" s="25" t="s">
        <v>61</v>
      </c>
      <c r="F3" s="26" t="s">
        <v>62</v>
      </c>
      <c r="G3" s="27" t="s">
        <v>63</v>
      </c>
    </row>
    <row r="4" spans="2:7" ht="51.75" customHeight="1">
      <c r="B4" s="28" t="s">
        <v>242</v>
      </c>
      <c r="C4" s="45" t="s">
        <v>243</v>
      </c>
      <c r="D4" s="45" t="s">
        <v>243</v>
      </c>
      <c r="E4" s="45" t="s">
        <v>243</v>
      </c>
      <c r="F4" s="45" t="s">
        <v>243</v>
      </c>
      <c r="G4" s="45" t="s">
        <v>243</v>
      </c>
    </row>
    <row r="5" spans="2:7" ht="51.75" customHeight="1">
      <c r="B5" s="28" t="s">
        <v>244</v>
      </c>
      <c r="C5" s="46"/>
      <c r="D5" s="46"/>
      <c r="E5" s="46"/>
      <c r="F5" s="46"/>
      <c r="G5" s="46"/>
    </row>
    <row r="6" spans="2:7" ht="51.75" customHeight="1">
      <c r="B6" s="28" t="s">
        <v>245</v>
      </c>
      <c r="C6" s="45"/>
      <c r="D6" s="45"/>
      <c r="E6" s="45"/>
      <c r="F6" s="45"/>
      <c r="G6" s="45"/>
    </row>
    <row r="7" spans="2:7" ht="51.75" customHeight="1">
      <c r="B7" s="28" t="s">
        <v>246</v>
      </c>
      <c r="C7" s="46"/>
      <c r="D7" s="46"/>
      <c r="E7" s="46"/>
      <c r="F7" s="46"/>
      <c r="G7" s="46"/>
    </row>
    <row r="8" spans="2:7" ht="51.75" customHeight="1">
      <c r="B8" s="28" t="s">
        <v>247</v>
      </c>
      <c r="C8" s="45"/>
      <c r="D8" s="45"/>
      <c r="E8" s="45"/>
      <c r="F8" s="45"/>
      <c r="G8" s="45"/>
    </row>
    <row r="9" spans="2:7" ht="51.75" customHeight="1">
      <c r="B9" s="28" t="s">
        <v>248</v>
      </c>
      <c r="C9" s="46"/>
      <c r="D9" s="46"/>
      <c r="E9" s="46"/>
      <c r="F9" s="46"/>
      <c r="G9" s="46"/>
    </row>
    <row r="10" spans="2:7" ht="51.75" customHeight="1">
      <c r="B10" s="28" t="s">
        <v>249</v>
      </c>
      <c r="C10" s="45"/>
      <c r="D10" s="45"/>
      <c r="E10" s="45"/>
      <c r="F10" s="45"/>
      <c r="G10" s="45"/>
    </row>
    <row r="11" spans="2:7" ht="51.75" customHeight="1">
      <c r="B11" s="28" t="s">
        <v>250</v>
      </c>
      <c r="C11" s="46"/>
      <c r="D11" s="46"/>
      <c r="E11" s="46"/>
      <c r="F11" s="46"/>
      <c r="G11" s="46"/>
    </row>
    <row r="12" spans="2:7" ht="51.75" customHeight="1">
      <c r="B12" s="28" t="s">
        <v>251</v>
      </c>
      <c r="C12" s="45"/>
      <c r="D12" s="45"/>
      <c r="E12" s="45"/>
      <c r="F12" s="45"/>
      <c r="G12" s="45"/>
    </row>
    <row r="14" spans="2:7" ht="24" customHeight="1">
      <c r="B14" s="83" t="s">
        <v>252</v>
      </c>
      <c r="C14" s="83"/>
      <c r="D14" s="83"/>
      <c r="E14" s="83"/>
      <c r="F14" s="83"/>
      <c r="G14" s="83"/>
    </row>
    <row r="15" spans="2:7" ht="24" customHeight="1">
      <c r="B15" s="22" t="s">
        <v>245</v>
      </c>
      <c r="C15" s="22" t="s">
        <v>253</v>
      </c>
      <c r="D15" s="22" t="s">
        <v>254</v>
      </c>
      <c r="E15" s="97" t="s">
        <v>255</v>
      </c>
      <c r="F15" s="97"/>
      <c r="G15" s="97"/>
    </row>
    <row r="16" spans="2:7" ht="27.75" customHeight="1">
      <c r="B16" s="47" t="s">
        <v>256</v>
      </c>
      <c r="C16" s="33" t="s">
        <v>257</v>
      </c>
      <c r="D16" s="32" t="s">
        <v>258</v>
      </c>
      <c r="E16" s="84" t="s">
        <v>259</v>
      </c>
      <c r="F16" s="84"/>
      <c r="G16" s="84"/>
    </row>
    <row r="17" spans="2:7" ht="27.75" customHeight="1">
      <c r="B17" s="48" t="s">
        <v>106</v>
      </c>
      <c r="C17" s="35" t="s">
        <v>260</v>
      </c>
      <c r="D17" s="34" t="s">
        <v>261</v>
      </c>
      <c r="E17" s="85" t="s">
        <v>262</v>
      </c>
      <c r="F17" s="85"/>
      <c r="G17" s="85"/>
    </row>
    <row r="18" spans="2:7" ht="27.75" customHeight="1">
      <c r="B18" s="49" t="s">
        <v>153</v>
      </c>
      <c r="C18" s="33" t="s">
        <v>263</v>
      </c>
      <c r="D18" s="32" t="s">
        <v>264</v>
      </c>
      <c r="E18" s="84" t="s">
        <v>265</v>
      </c>
      <c r="F18" s="84"/>
      <c r="G18" s="84"/>
    </row>
    <row r="19" spans="2:7" ht="27.75" customHeight="1">
      <c r="B19" s="50" t="s">
        <v>115</v>
      </c>
      <c r="C19" s="35" t="s">
        <v>266</v>
      </c>
      <c r="D19" s="34" t="s">
        <v>267</v>
      </c>
      <c r="E19" s="85" t="s">
        <v>268</v>
      </c>
      <c r="F19" s="85"/>
      <c r="G19" s="85"/>
    </row>
  </sheetData>
  <mergeCells count="8">
    <mergeCell ref="E17:G17"/>
    <mergeCell ref="E18:G18"/>
    <mergeCell ref="E19:G19"/>
    <mergeCell ref="B1:G1"/>
    <mergeCell ref="B2:G2"/>
    <mergeCell ref="B14:G14"/>
    <mergeCell ref="E15:G15"/>
    <mergeCell ref="E16:G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88"/>
  <sheetViews>
    <sheetView showGridLines="0" zoomScaleNormal="100" workbookViewId="0">
      <pane xSplit="2" ySplit="4" topLeftCell="C25" activePane="bottomRight" state="frozen"/>
      <selection pane="bottomRight" activeCell="C34" sqref="C34"/>
      <selection pane="bottomLeft" activeCell="A5" sqref="A5"/>
      <selection pane="topRight" activeCell="C1" sqref="C1"/>
    </sheetView>
  </sheetViews>
  <sheetFormatPr defaultColWidth="8.7109375" defaultRowHeight="15"/>
  <cols>
    <col min="1" max="2" width="3" customWidth="1"/>
    <col min="3" max="3" width="161" customWidth="1"/>
    <col min="4" max="4" width="82.42578125" customWidth="1"/>
    <col min="5" max="5" width="3" customWidth="1"/>
  </cols>
  <sheetData>
    <row r="1" spans="2:4" ht="43.5" customHeight="1">
      <c r="B1" s="77" t="s">
        <v>269</v>
      </c>
      <c r="C1" s="77"/>
      <c r="D1" s="77"/>
    </row>
    <row r="2" spans="2:4" ht="19.5" customHeight="1">
      <c r="B2" s="76" t="s">
        <v>270</v>
      </c>
      <c r="C2" s="76"/>
      <c r="D2" s="76"/>
    </row>
    <row r="3" spans="2:4" ht="19.5" customHeight="1">
      <c r="B3" s="76" t="s">
        <v>271</v>
      </c>
      <c r="C3" s="76"/>
      <c r="D3" s="76"/>
    </row>
    <row r="4" spans="2:4" ht="9.75" customHeight="1">
      <c r="B4" s="8"/>
      <c r="C4" s="8"/>
      <c r="D4" s="8"/>
    </row>
    <row r="5" spans="2:4" ht="31.5" customHeight="1">
      <c r="B5" s="98" t="s">
        <v>272</v>
      </c>
      <c r="C5" s="98"/>
      <c r="D5" s="98"/>
    </row>
    <row r="6" spans="2:4" ht="25.5" customHeight="1">
      <c r="C6" s="51" t="s">
        <v>273</v>
      </c>
      <c r="D6" s="51" t="s">
        <v>274</v>
      </c>
    </row>
    <row r="7" spans="2:4" ht="39.75" customHeight="1">
      <c r="B7" s="52"/>
      <c r="C7" s="4" t="s">
        <v>275</v>
      </c>
      <c r="D7" s="53" t="s">
        <v>276</v>
      </c>
    </row>
    <row r="8" spans="2:4" ht="39.75" customHeight="1">
      <c r="B8" s="52"/>
      <c r="C8" s="7" t="s">
        <v>277</v>
      </c>
      <c r="D8" s="53" t="s">
        <v>278</v>
      </c>
    </row>
    <row r="9" spans="2:4" ht="39.75" customHeight="1">
      <c r="B9" s="52"/>
      <c r="C9" s="4" t="s">
        <v>279</v>
      </c>
      <c r="D9" s="53" t="s">
        <v>280</v>
      </c>
    </row>
    <row r="10" spans="2:4" ht="39.75" customHeight="1">
      <c r="B10" s="52"/>
      <c r="C10" s="7" t="s">
        <v>281</v>
      </c>
      <c r="D10" s="53" t="s">
        <v>282</v>
      </c>
    </row>
    <row r="11" spans="2:4" ht="39.75" customHeight="1">
      <c r="B11" s="52"/>
      <c r="C11" s="4" t="s">
        <v>283</v>
      </c>
      <c r="D11" s="53" t="s">
        <v>284</v>
      </c>
    </row>
    <row r="12" spans="2:4" ht="39.75" customHeight="1">
      <c r="B12" s="52"/>
      <c r="C12" s="7" t="s">
        <v>285</v>
      </c>
      <c r="D12" s="53" t="s">
        <v>286</v>
      </c>
    </row>
    <row r="13" spans="2:4" ht="9.75" customHeight="1">
      <c r="B13" s="8"/>
      <c r="C13" s="8"/>
      <c r="D13" s="8"/>
    </row>
    <row r="14" spans="2:4" ht="31.5" customHeight="1">
      <c r="B14" s="101" t="s">
        <v>287</v>
      </c>
      <c r="C14" s="101"/>
      <c r="D14" s="101"/>
    </row>
    <row r="15" spans="2:4" ht="25.5" customHeight="1">
      <c r="C15" s="54" t="s">
        <v>273</v>
      </c>
      <c r="D15" s="54" t="s">
        <v>274</v>
      </c>
    </row>
    <row r="16" spans="2:4" ht="39.75" customHeight="1">
      <c r="B16" s="52"/>
      <c r="C16" s="4" t="s">
        <v>288</v>
      </c>
      <c r="D16" s="53" t="s">
        <v>289</v>
      </c>
    </row>
    <row r="17" spans="2:4" ht="39.75" customHeight="1">
      <c r="B17" s="52"/>
      <c r="C17" s="7" t="s">
        <v>290</v>
      </c>
      <c r="D17" s="53" t="s">
        <v>291</v>
      </c>
    </row>
    <row r="18" spans="2:4" ht="39.75" customHeight="1">
      <c r="B18" s="52"/>
      <c r="C18" s="4" t="s">
        <v>292</v>
      </c>
      <c r="D18" s="53" t="s">
        <v>293</v>
      </c>
    </row>
    <row r="19" spans="2:4" ht="39.75" customHeight="1">
      <c r="B19" s="52"/>
      <c r="C19" s="7" t="s">
        <v>294</v>
      </c>
      <c r="D19" s="53" t="s">
        <v>295</v>
      </c>
    </row>
    <row r="20" spans="2:4" ht="39.75" customHeight="1">
      <c r="B20" s="52"/>
      <c r="C20" s="4" t="s">
        <v>296</v>
      </c>
      <c r="D20" s="70" t="s">
        <v>297</v>
      </c>
    </row>
    <row r="21" spans="2:4" ht="27.75" customHeight="1">
      <c r="B21" s="55"/>
      <c r="C21" s="100" t="s">
        <v>298</v>
      </c>
      <c r="D21" s="100"/>
    </row>
    <row r="22" spans="2:4" ht="9.75" customHeight="1">
      <c r="B22" s="8"/>
      <c r="C22" s="8"/>
      <c r="D22" s="8"/>
    </row>
    <row r="23" spans="2:4" ht="31.5" customHeight="1">
      <c r="B23" s="102" t="s">
        <v>299</v>
      </c>
      <c r="C23" s="102"/>
      <c r="D23" s="102"/>
    </row>
    <row r="24" spans="2:4" ht="25.5" customHeight="1">
      <c r="C24" s="56" t="s">
        <v>273</v>
      </c>
      <c r="D24" s="56" t="s">
        <v>274</v>
      </c>
    </row>
    <row r="25" spans="2:4" ht="39.75" customHeight="1">
      <c r="B25" s="57"/>
      <c r="C25" s="10" t="s">
        <v>300</v>
      </c>
      <c r="D25" s="53" t="s">
        <v>301</v>
      </c>
    </row>
    <row r="26" spans="2:4" ht="39.75" customHeight="1">
      <c r="B26" s="57"/>
      <c r="C26" s="7" t="s">
        <v>302</v>
      </c>
      <c r="D26" s="53" t="s">
        <v>303</v>
      </c>
    </row>
    <row r="27" spans="2:4" ht="39.75" customHeight="1">
      <c r="B27" s="57"/>
      <c r="C27" s="10" t="s">
        <v>304</v>
      </c>
      <c r="D27" s="53" t="s">
        <v>305</v>
      </c>
    </row>
    <row r="28" spans="2:4" ht="39.75" customHeight="1">
      <c r="B28" s="57"/>
      <c r="C28" s="7" t="s">
        <v>306</v>
      </c>
      <c r="D28" s="53" t="s">
        <v>307</v>
      </c>
    </row>
    <row r="29" spans="2:4" ht="39.75" customHeight="1">
      <c r="B29" s="57"/>
      <c r="C29" s="10" t="s">
        <v>308</v>
      </c>
      <c r="D29" s="53" t="s">
        <v>309</v>
      </c>
    </row>
    <row r="30" spans="2:4" ht="39.75" customHeight="1">
      <c r="B30" s="57"/>
      <c r="C30" s="7" t="s">
        <v>310</v>
      </c>
      <c r="D30" s="53" t="s">
        <v>311</v>
      </c>
    </row>
    <row r="31" spans="2:4" ht="9.75" customHeight="1">
      <c r="B31" s="8"/>
      <c r="C31" s="8"/>
      <c r="D31" s="8"/>
    </row>
    <row r="32" spans="2:4" ht="31.5" customHeight="1">
      <c r="B32" s="99" t="s">
        <v>312</v>
      </c>
      <c r="C32" s="99"/>
      <c r="D32" s="99"/>
    </row>
    <row r="33" spans="2:4" ht="25.5" customHeight="1">
      <c r="C33" s="58" t="s">
        <v>273</v>
      </c>
      <c r="D33" s="58" t="s">
        <v>274</v>
      </c>
    </row>
    <row r="34" spans="2:4" ht="39.75" customHeight="1">
      <c r="B34" s="59"/>
      <c r="C34" s="13" t="s">
        <v>313</v>
      </c>
      <c r="D34" s="53" t="s">
        <v>314</v>
      </c>
    </row>
    <row r="35" spans="2:4" ht="39.75" customHeight="1">
      <c r="B35" s="59"/>
      <c r="C35" s="7" t="s">
        <v>315</v>
      </c>
      <c r="D35" s="53" t="s">
        <v>316</v>
      </c>
    </row>
    <row r="36" spans="2:4" ht="39.75" customHeight="1">
      <c r="B36" s="59"/>
      <c r="C36" s="13" t="s">
        <v>317</v>
      </c>
      <c r="D36" s="53" t="s">
        <v>318</v>
      </c>
    </row>
    <row r="37" spans="2:4" ht="39.75" customHeight="1">
      <c r="B37" s="59"/>
      <c r="C37" s="7" t="s">
        <v>319</v>
      </c>
      <c r="D37" s="53" t="s">
        <v>320</v>
      </c>
    </row>
    <row r="38" spans="2:4" ht="39.75" customHeight="1">
      <c r="B38" s="59"/>
      <c r="C38" s="13" t="s">
        <v>321</v>
      </c>
      <c r="D38" s="53" t="s">
        <v>322</v>
      </c>
    </row>
    <row r="39" spans="2:4" ht="39.75" customHeight="1">
      <c r="B39" s="59"/>
      <c r="C39" s="7" t="s">
        <v>323</v>
      </c>
      <c r="D39" s="53" t="s">
        <v>324</v>
      </c>
    </row>
    <row r="40" spans="2:4" ht="27.75" customHeight="1">
      <c r="B40" s="60"/>
      <c r="C40" s="100" t="s">
        <v>325</v>
      </c>
      <c r="D40" s="100"/>
    </row>
    <row r="41" spans="2:4" ht="9.75" customHeight="1">
      <c r="B41" s="8"/>
      <c r="C41" s="8"/>
      <c r="D41" s="8"/>
    </row>
    <row r="42" spans="2:4" ht="31.5" customHeight="1">
      <c r="B42" s="103" t="s">
        <v>326</v>
      </c>
      <c r="C42" s="103"/>
      <c r="D42" s="103"/>
    </row>
    <row r="43" spans="2:4" ht="19.5" customHeight="1">
      <c r="B43" s="104" t="s">
        <v>327</v>
      </c>
      <c r="C43" s="104"/>
      <c r="D43" s="104"/>
    </row>
    <row r="44" spans="2:4" ht="25.5" customHeight="1">
      <c r="C44" s="61" t="s">
        <v>273</v>
      </c>
      <c r="D44" s="61" t="s">
        <v>274</v>
      </c>
    </row>
    <row r="45" spans="2:4" ht="39.75" customHeight="1">
      <c r="B45" s="62"/>
      <c r="C45" s="19" t="s">
        <v>328</v>
      </c>
      <c r="D45" s="53" t="s">
        <v>329</v>
      </c>
    </row>
    <row r="46" spans="2:4" ht="39.75" customHeight="1">
      <c r="B46" s="62"/>
      <c r="C46" s="7" t="s">
        <v>330</v>
      </c>
      <c r="D46" s="53" t="s">
        <v>331</v>
      </c>
    </row>
    <row r="47" spans="2:4" ht="39.75" customHeight="1">
      <c r="B47" s="62"/>
      <c r="C47" s="19" t="s">
        <v>332</v>
      </c>
      <c r="D47" s="53" t="s">
        <v>333</v>
      </c>
    </row>
    <row r="48" spans="2:4" ht="39.75" customHeight="1">
      <c r="B48" s="62"/>
      <c r="C48" s="7" t="s">
        <v>334</v>
      </c>
      <c r="D48" s="53" t="s">
        <v>335</v>
      </c>
    </row>
    <row r="49" spans="2:4" ht="39.75" customHeight="1">
      <c r="B49" s="62"/>
      <c r="C49" s="19" t="s">
        <v>336</v>
      </c>
      <c r="D49" s="53" t="s">
        <v>337</v>
      </c>
    </row>
    <row r="50" spans="2:4" ht="39.75" customHeight="1">
      <c r="B50" s="62"/>
      <c r="C50" s="7" t="s">
        <v>338</v>
      </c>
      <c r="D50" s="53" t="s">
        <v>339</v>
      </c>
    </row>
    <row r="51" spans="2:4" ht="27.75" customHeight="1">
      <c r="B51" s="63"/>
      <c r="C51" s="100" t="s">
        <v>340</v>
      </c>
      <c r="D51" s="100"/>
    </row>
    <row r="52" spans="2:4" ht="9.75" customHeight="1">
      <c r="B52" s="8"/>
      <c r="C52" s="8"/>
      <c r="D52" s="8"/>
    </row>
    <row r="53" spans="2:4" ht="31.5" customHeight="1">
      <c r="B53" s="105" t="s">
        <v>341</v>
      </c>
      <c r="C53" s="105"/>
      <c r="D53" s="105"/>
    </row>
    <row r="54" spans="2:4" ht="19.5" customHeight="1">
      <c r="B54" s="106" t="s">
        <v>342</v>
      </c>
      <c r="C54" s="106"/>
      <c r="D54" s="106"/>
    </row>
    <row r="55" spans="2:4" ht="25.5" customHeight="1">
      <c r="C55" s="64" t="s">
        <v>273</v>
      </c>
      <c r="D55" s="64" t="s">
        <v>274</v>
      </c>
    </row>
    <row r="56" spans="2:4" ht="39.75" customHeight="1">
      <c r="B56" s="65"/>
      <c r="C56" s="21" t="s">
        <v>343</v>
      </c>
      <c r="D56" s="53" t="s">
        <v>344</v>
      </c>
    </row>
    <row r="57" spans="2:4" ht="39.75" customHeight="1">
      <c r="B57" s="65"/>
      <c r="C57" s="7" t="s">
        <v>345</v>
      </c>
      <c r="D57" s="53" t="s">
        <v>346</v>
      </c>
    </row>
    <row r="58" spans="2:4" ht="39.75" customHeight="1">
      <c r="B58" s="65"/>
      <c r="C58" s="21" t="s">
        <v>347</v>
      </c>
      <c r="D58" s="53" t="s">
        <v>348</v>
      </c>
    </row>
    <row r="59" spans="2:4" ht="39.75" customHeight="1">
      <c r="B59" s="65"/>
      <c r="C59" s="7" t="s">
        <v>349</v>
      </c>
      <c r="D59" s="53" t="s">
        <v>350</v>
      </c>
    </row>
    <row r="60" spans="2:4" ht="39.75" customHeight="1">
      <c r="B60" s="65"/>
      <c r="C60" s="21" t="s">
        <v>351</v>
      </c>
      <c r="D60" s="53" t="s">
        <v>352</v>
      </c>
    </row>
    <row r="61" spans="2:4" ht="39.75" customHeight="1">
      <c r="B61" s="65"/>
      <c r="C61" s="7" t="s">
        <v>353</v>
      </c>
      <c r="D61" s="53" t="s">
        <v>354</v>
      </c>
    </row>
    <row r="62" spans="2:4" ht="27.75" customHeight="1">
      <c r="B62" s="66"/>
      <c r="C62" s="100" t="s">
        <v>355</v>
      </c>
      <c r="D62" s="100"/>
    </row>
    <row r="63" spans="2:4" ht="9.75" customHeight="1">
      <c r="B63" s="8"/>
      <c r="C63" s="8"/>
      <c r="D63" s="8"/>
    </row>
    <row r="64" spans="2:4" ht="31.5" customHeight="1">
      <c r="B64" s="101" t="s">
        <v>356</v>
      </c>
      <c r="C64" s="101"/>
      <c r="D64" s="101"/>
    </row>
    <row r="65" spans="2:4" ht="19.5" customHeight="1">
      <c r="B65" s="108" t="s">
        <v>357</v>
      </c>
      <c r="C65" s="108"/>
      <c r="D65" s="108"/>
    </row>
    <row r="66" spans="2:4" ht="25.5" customHeight="1">
      <c r="C66" s="54" t="s">
        <v>273</v>
      </c>
      <c r="D66" s="54" t="s">
        <v>274</v>
      </c>
    </row>
    <row r="67" spans="2:4" ht="39.75" customHeight="1">
      <c r="B67" s="52"/>
      <c r="C67" s="4" t="s">
        <v>358</v>
      </c>
      <c r="D67" s="53" t="s">
        <v>359</v>
      </c>
    </row>
    <row r="68" spans="2:4" ht="39.75" customHeight="1">
      <c r="B68" s="52"/>
      <c r="C68" s="7" t="s">
        <v>360</v>
      </c>
      <c r="D68" s="53" t="s">
        <v>361</v>
      </c>
    </row>
    <row r="69" spans="2:4" ht="39.75" customHeight="1">
      <c r="B69" s="52"/>
      <c r="C69" s="4" t="s">
        <v>362</v>
      </c>
      <c r="D69" s="53" t="s">
        <v>363</v>
      </c>
    </row>
    <row r="70" spans="2:4" ht="39.75" customHeight="1">
      <c r="B70" s="52"/>
      <c r="C70" s="7" t="s">
        <v>364</v>
      </c>
      <c r="D70" s="53" t="s">
        <v>365</v>
      </c>
    </row>
    <row r="71" spans="2:4" ht="39.75" customHeight="1">
      <c r="B71" s="52"/>
      <c r="C71" s="4" t="s">
        <v>366</v>
      </c>
      <c r="D71" s="53" t="s">
        <v>367</v>
      </c>
    </row>
    <row r="72" spans="2:4" ht="39.75" customHeight="1">
      <c r="B72" s="52"/>
      <c r="C72" s="7" t="s">
        <v>368</v>
      </c>
      <c r="D72" s="53" t="s">
        <v>284</v>
      </c>
    </row>
    <row r="73" spans="2:4" ht="27.75" customHeight="1">
      <c r="B73" s="55"/>
      <c r="C73" s="100" t="s">
        <v>369</v>
      </c>
      <c r="D73" s="100"/>
    </row>
    <row r="74" spans="2:4" ht="9.75" customHeight="1">
      <c r="B74" s="8"/>
      <c r="C74" s="8"/>
      <c r="D74" s="8"/>
    </row>
    <row r="75" spans="2:4" ht="31.5" customHeight="1">
      <c r="B75" s="109" t="s">
        <v>370</v>
      </c>
      <c r="C75" s="109"/>
      <c r="D75" s="109"/>
    </row>
    <row r="76" spans="2:4" ht="19.5" customHeight="1">
      <c r="B76" s="107" t="s">
        <v>371</v>
      </c>
      <c r="C76" s="107"/>
      <c r="D76" s="107"/>
    </row>
    <row r="77" spans="2:4" ht="25.5" customHeight="1">
      <c r="C77" s="67" t="s">
        <v>372</v>
      </c>
      <c r="D77" s="67" t="s">
        <v>373</v>
      </c>
    </row>
    <row r="78" spans="2:4" ht="39.75" customHeight="1">
      <c r="B78" s="68"/>
      <c r="C78" s="69" t="s">
        <v>374</v>
      </c>
      <c r="D78" s="53" t="s">
        <v>375</v>
      </c>
    </row>
    <row r="79" spans="2:4" ht="39.75" customHeight="1">
      <c r="B79" s="68"/>
      <c r="C79" s="7" t="s">
        <v>376</v>
      </c>
      <c r="D79" s="53" t="s">
        <v>377</v>
      </c>
    </row>
    <row r="80" spans="2:4" ht="39.75" customHeight="1">
      <c r="B80" s="68"/>
      <c r="C80" s="69" t="s">
        <v>378</v>
      </c>
      <c r="D80" s="53" t="s">
        <v>379</v>
      </c>
    </row>
    <row r="81" spans="2:4" ht="39.75" customHeight="1">
      <c r="B81" s="68"/>
      <c r="C81" s="7" t="s">
        <v>380</v>
      </c>
      <c r="D81" s="53" t="s">
        <v>381</v>
      </c>
    </row>
    <row r="82" spans="2:4" ht="39.75" customHeight="1">
      <c r="B82" s="68"/>
      <c r="C82" s="69" t="s">
        <v>382</v>
      </c>
      <c r="D82" s="53" t="s">
        <v>383</v>
      </c>
    </row>
    <row r="83" spans="2:4" ht="39.75" customHeight="1">
      <c r="B83" s="68"/>
      <c r="C83" s="7" t="s">
        <v>384</v>
      </c>
      <c r="D83" s="53" t="s">
        <v>385</v>
      </c>
    </row>
    <row r="84" spans="2:4" ht="39.75" customHeight="1">
      <c r="B84" s="68"/>
      <c r="C84" s="69" t="s">
        <v>386</v>
      </c>
      <c r="D84" s="53" t="s">
        <v>284</v>
      </c>
    </row>
    <row r="85" spans="2:4" ht="39.75" customHeight="1">
      <c r="B85" s="68"/>
      <c r="C85" s="7" t="s">
        <v>387</v>
      </c>
      <c r="D85" s="53" t="s">
        <v>388</v>
      </c>
    </row>
    <row r="86" spans="2:4" ht="39.75" customHeight="1">
      <c r="B86" s="68"/>
      <c r="C86" s="69" t="s">
        <v>389</v>
      </c>
      <c r="D86" s="53" t="s">
        <v>390</v>
      </c>
    </row>
    <row r="87" spans="2:4" ht="39.75" customHeight="1">
      <c r="B87" s="68"/>
      <c r="C87" s="7" t="s">
        <v>391</v>
      </c>
      <c r="D87" s="53" t="s">
        <v>392</v>
      </c>
    </row>
    <row r="88" spans="2:4" ht="9.75" customHeight="1">
      <c r="B88" s="8"/>
      <c r="C88" s="8"/>
      <c r="D88" s="8"/>
    </row>
  </sheetData>
  <mergeCells count="20">
    <mergeCell ref="B43:D43"/>
    <mergeCell ref="C51:D51"/>
    <mergeCell ref="B53:D53"/>
    <mergeCell ref="B54:D54"/>
    <mergeCell ref="B76:D76"/>
    <mergeCell ref="C62:D62"/>
    <mergeCell ref="B64:D64"/>
    <mergeCell ref="B65:D65"/>
    <mergeCell ref="C73:D73"/>
    <mergeCell ref="B75:D75"/>
    <mergeCell ref="C40:D40"/>
    <mergeCell ref="B14:D14"/>
    <mergeCell ref="C21:D21"/>
    <mergeCell ref="B23:D23"/>
    <mergeCell ref="B42:D42"/>
    <mergeCell ref="B1:D1"/>
    <mergeCell ref="B2:D2"/>
    <mergeCell ref="B3:D3"/>
    <mergeCell ref="B5:D5"/>
    <mergeCell ref="B32:D32"/>
  </mergeCells>
  <hyperlinks>
    <hyperlink ref="D7" r:id="rId1" xr:uid="{00000000-0004-0000-0700-000000000000}"/>
    <hyperlink ref="D8" r:id="rId2" xr:uid="{00000000-0004-0000-0700-000001000000}"/>
    <hyperlink ref="D9" r:id="rId3" xr:uid="{00000000-0004-0000-0700-000002000000}"/>
    <hyperlink ref="D10" r:id="rId4" xr:uid="{00000000-0004-0000-0700-000003000000}"/>
    <hyperlink ref="D11" r:id="rId5" xr:uid="{00000000-0004-0000-0700-000004000000}"/>
    <hyperlink ref="D12" r:id="rId6" xr:uid="{00000000-0004-0000-0700-000005000000}"/>
    <hyperlink ref="D16" r:id="rId7" xr:uid="{00000000-0004-0000-0700-000006000000}"/>
    <hyperlink ref="D17" r:id="rId8" xr:uid="{00000000-0004-0000-0700-000007000000}"/>
    <hyperlink ref="D18" r:id="rId9" xr:uid="{00000000-0004-0000-0700-000008000000}"/>
    <hyperlink ref="D19" r:id="rId10" xr:uid="{00000000-0004-0000-0700-000009000000}"/>
    <hyperlink ref="D25" r:id="rId11" xr:uid="{00000000-0004-0000-0700-00000C000000}"/>
    <hyperlink ref="D26" r:id="rId12" xr:uid="{00000000-0004-0000-0700-00000D000000}"/>
    <hyperlink ref="D27" r:id="rId13" xr:uid="{00000000-0004-0000-0700-00000E000000}"/>
    <hyperlink ref="D28" r:id="rId14" xr:uid="{00000000-0004-0000-0700-00000F000000}"/>
    <hyperlink ref="D29" r:id="rId15" xr:uid="{00000000-0004-0000-0700-000010000000}"/>
    <hyperlink ref="D30" r:id="rId16" xr:uid="{00000000-0004-0000-0700-000011000000}"/>
    <hyperlink ref="D34" r:id="rId17" xr:uid="{00000000-0004-0000-0700-000012000000}"/>
    <hyperlink ref="D35" r:id="rId18" xr:uid="{00000000-0004-0000-0700-000013000000}"/>
    <hyperlink ref="D36" r:id="rId19" xr:uid="{00000000-0004-0000-0700-000014000000}"/>
    <hyperlink ref="D37" r:id="rId20" xr:uid="{00000000-0004-0000-0700-000015000000}"/>
    <hyperlink ref="D38" r:id="rId21" xr:uid="{00000000-0004-0000-0700-000016000000}"/>
    <hyperlink ref="D39" r:id="rId22" xr:uid="{00000000-0004-0000-0700-000017000000}"/>
    <hyperlink ref="D45" r:id="rId23" xr:uid="{00000000-0004-0000-0700-000018000000}"/>
    <hyperlink ref="D46" r:id="rId24" xr:uid="{00000000-0004-0000-0700-000019000000}"/>
    <hyperlink ref="D47" r:id="rId25" xr:uid="{00000000-0004-0000-0700-00001A000000}"/>
    <hyperlink ref="D48" r:id="rId26" xr:uid="{00000000-0004-0000-0700-00001B000000}"/>
    <hyperlink ref="D49" r:id="rId27" xr:uid="{00000000-0004-0000-0700-00001C000000}"/>
    <hyperlink ref="D50" r:id="rId28" xr:uid="{00000000-0004-0000-0700-00001D000000}"/>
    <hyperlink ref="D56" r:id="rId29" xr:uid="{00000000-0004-0000-0700-00001E000000}"/>
    <hyperlink ref="D57" r:id="rId30" xr:uid="{00000000-0004-0000-0700-00001F000000}"/>
    <hyperlink ref="D58" r:id="rId31" xr:uid="{00000000-0004-0000-0700-000020000000}"/>
    <hyperlink ref="D59" r:id="rId32" xr:uid="{00000000-0004-0000-0700-000021000000}"/>
    <hyperlink ref="D60" r:id="rId33" xr:uid="{00000000-0004-0000-0700-000022000000}"/>
    <hyperlink ref="D61" r:id="rId34" xr:uid="{00000000-0004-0000-0700-000023000000}"/>
    <hyperlink ref="D67" r:id="rId35" xr:uid="{00000000-0004-0000-0700-000024000000}"/>
    <hyperlink ref="D68" r:id="rId36" xr:uid="{00000000-0004-0000-0700-000025000000}"/>
    <hyperlink ref="D69" r:id="rId37" xr:uid="{00000000-0004-0000-0700-000026000000}"/>
    <hyperlink ref="D70" r:id="rId38" xr:uid="{00000000-0004-0000-0700-000027000000}"/>
    <hyperlink ref="D71" r:id="rId39" xr:uid="{00000000-0004-0000-0700-000028000000}"/>
    <hyperlink ref="D72" r:id="rId40" xr:uid="{00000000-0004-0000-0700-000029000000}"/>
    <hyperlink ref="D78" r:id="rId41" xr:uid="{00000000-0004-0000-0700-00002A000000}"/>
    <hyperlink ref="D79" r:id="rId42" xr:uid="{00000000-0004-0000-0700-00002B000000}"/>
    <hyperlink ref="D80" r:id="rId43" xr:uid="{00000000-0004-0000-0700-00002C000000}"/>
    <hyperlink ref="D81" r:id="rId44" xr:uid="{00000000-0004-0000-0700-00002D000000}"/>
    <hyperlink ref="D82" r:id="rId45" xr:uid="{00000000-0004-0000-0700-00002E000000}"/>
    <hyperlink ref="D83" r:id="rId46" xr:uid="{00000000-0004-0000-0700-00002F000000}"/>
    <hyperlink ref="D84" r:id="rId47" xr:uid="{00000000-0004-0000-0700-000030000000}"/>
    <hyperlink ref="D85" r:id="rId48" xr:uid="{00000000-0004-0000-0700-000031000000}"/>
    <hyperlink ref="D86" r:id="rId49" xr:uid="{00000000-0004-0000-0700-000032000000}"/>
    <hyperlink ref="D87" r:id="rId50" xr:uid="{00000000-0004-0000-0700-000033000000}"/>
    <hyperlink ref="D20" r:id="rId51" xr:uid="{00000000-0004-0000-0700-00000A000000}"/>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515c89-0c3e-4060-8eba-4c2eeb3cc3a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7A292C9EA99CC4DB040A14F7EB7CAAE" ma:contentTypeVersion="13" ma:contentTypeDescription="Create a new document." ma:contentTypeScope="" ma:versionID="afc2d48892ad9d85173ee4238de4740b">
  <xsd:schema xmlns:xsd="http://www.w3.org/2001/XMLSchema" xmlns:xs="http://www.w3.org/2001/XMLSchema" xmlns:p="http://schemas.microsoft.com/office/2006/metadata/properties" xmlns:ns2="3a515c89-0c3e-4060-8eba-4c2eeb3cc3ab" xmlns:ns3="d0f9f239-cc39-4af7-9648-3bbd68e9fcc0" targetNamespace="http://schemas.microsoft.com/office/2006/metadata/properties" ma:root="true" ma:fieldsID="4a17989cb746de587726ad5d22c784a7" ns2:_="" ns3:_="">
    <xsd:import namespace="3a515c89-0c3e-4060-8eba-4c2eeb3cc3ab"/>
    <xsd:import namespace="d0f9f239-cc39-4af7-9648-3bbd68e9fc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15c89-0c3e-4060-8eba-4c2eeb3cc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fc7e3e-e2e3-4810-9525-338c41887b6c"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f9f239-cc39-4af7-9648-3bbd68e9fc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142BFB-DD57-455A-815D-E9592F74BC99}"/>
</file>

<file path=customXml/itemProps2.xml><?xml version="1.0" encoding="utf-8"?>
<ds:datastoreItem xmlns:ds="http://schemas.openxmlformats.org/officeDocument/2006/customXml" ds:itemID="{BDA42F6C-1C17-4CFF-BA5D-DB2A0AD4A996}"/>
</file>

<file path=customXml/itemProps3.xml><?xml version="1.0" encoding="utf-8"?>
<ds:datastoreItem xmlns:ds="http://schemas.openxmlformats.org/officeDocument/2006/customXml" ds:itemID="{047D7684-18BA-4C3B-8074-43834F392D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2026-04-20T11:38:43Z</dcterms:created>
  <dcterms:modified xsi:type="dcterms:W3CDTF">2026-04-29T15:24:48Z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0x010100D7A292C9EA99CC4DB040A14F7EB7CAAE</vt:lpwstr>
  </property>
  <property fmtid="{D5CDD505-2E9C-101B-9397-08002B2CF9AE}" pid="3" name="MediaServiceImageTags">
    <vt:lpwstr/>
  </property>
</Properties>
</file>