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050gc.sharepoint.com/sites/COMM-Tier1/Shared Documents/Testing Blitz - Spring and Summer 2026/Test 1 - DLI + Newcomers/"/>
    </mc:Choice>
  </mc:AlternateContent>
  <xr:revisionPtr revIDLastSave="0" documentId="8_{939611C9-2701-492B-965C-B0D3AFE15AB1}" xr6:coauthVersionLast="47" xr6:coauthVersionMax="47" xr10:uidLastSave="{00000000-0000-0000-0000-000000000000}"/>
  <bookViews>
    <workbookView xWindow="-120" yWindow="-120" windowWidth="29040" windowHeight="15720" tabRatio="500" firstSheet="3" activeTab="3" xr2:uid="{00000000-000D-0000-FFFF-FFFF00000000}"/>
  </bookViews>
  <sheets>
    <sheet name="Kickoff Questions" sheetId="1" r:id="rId1"/>
    <sheet name="Summary" sheetId="2" r:id="rId2"/>
    <sheet name="Test Goals" sheetId="3" r:id="rId3"/>
    <sheet name="Tasks" sheetId="4" r:id="rId4"/>
    <sheet name="Participants" sheetId="5" r:id="rId5"/>
    <sheet name="Data" sheetId="6" r:id="rId6"/>
    <sheet name="Analysis" sheetId="7" r:id="rId7"/>
    <sheet name="Help &amp; Guidance" sheetId="8" r:id="rId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2" i="2" l="1"/>
  <c r="G11" i="2"/>
  <c r="G10" i="2"/>
  <c r="G9" i="2"/>
  <c r="G8" i="2"/>
  <c r="G7" i="2"/>
  <c r="G6" i="2"/>
  <c r="G5" i="2"/>
  <c r="G4" i="2"/>
  <c r="F12" i="2"/>
  <c r="F11" i="2"/>
  <c r="F10" i="2"/>
  <c r="F9" i="2"/>
  <c r="F8" i="2"/>
  <c r="F7" i="2"/>
  <c r="F6" i="2"/>
  <c r="F5" i="2"/>
  <c r="F4" i="2"/>
  <c r="E12" i="2"/>
  <c r="E11" i="2"/>
  <c r="E10" i="2"/>
  <c r="E9" i="2"/>
  <c r="E8" i="2"/>
  <c r="E7" i="2"/>
  <c r="E6" i="2"/>
  <c r="E5" i="2"/>
  <c r="E4" i="2"/>
  <c r="D12" i="2"/>
  <c r="D11" i="2"/>
  <c r="D10" i="2"/>
  <c r="D9" i="2"/>
  <c r="D8" i="2"/>
  <c r="D7" i="2"/>
  <c r="D6" i="2"/>
  <c r="D5" i="2"/>
  <c r="D4" i="2"/>
  <c r="C12" i="2"/>
  <c r="C11" i="2"/>
  <c r="C10" i="2"/>
  <c r="C9" i="2"/>
  <c r="C8" i="2"/>
  <c r="C7" i="2"/>
  <c r="C6" i="2"/>
  <c r="C5" i="2"/>
  <c r="C4" i="2"/>
  <c r="C17" i="2"/>
</calcChain>
</file>

<file path=xl/sharedStrings.xml><?xml version="1.0" encoding="utf-8"?>
<sst xmlns="http://schemas.openxmlformats.org/spreadsheetml/2006/main" count="500" uniqueCount="398">
  <si>
    <t>USABILITY TEST KICKOFF · Questions to Scope Your Study</t>
  </si>
  <si>
    <t>Question</t>
  </si>
  <si>
    <t>Your Notes</t>
  </si>
  <si>
    <t>Background &amp; Organizational Context</t>
  </si>
  <si>
    <t>›</t>
  </si>
  <si>
    <t>What is the product or page, and who is it designed for?</t>
  </si>
  <si>
    <t>Liste des établissements d’enseignement désignés</t>
  </si>
  <si>
    <t>What problem does it solve for our web visitors? What problem does it solve for the IRCC?</t>
  </si>
  <si>
    <t xml:space="preserve">Allows visitors who are seeking a study permit to select a DLI. Allows IRCC to maintain 1 clear list of DLIs. </t>
  </si>
  <si>
    <t>Where does this sit in the design lifecycle — pre-launch validation, a post-launch audit, or something else?</t>
  </si>
  <si>
    <t>Post-launch pain point identification</t>
  </si>
  <si>
    <t>What prompted this research request right now? Was there a specific incident, metric, complaint, or upcoming deadline?</t>
  </si>
  <si>
    <t>Has this product or feature been tested before? If so, what were the findings, and what changed since then?</t>
  </si>
  <si>
    <t>Are there competing internal priorities or other work we should be aware of that might affect timelines?</t>
  </si>
  <si>
    <t>Research Goals &amp; Questions</t>
  </si>
  <si>
    <t>What are the two or three most important things you need to learn from this test?</t>
  </si>
  <si>
    <t xml:space="preserve">o	are users able to find a DLI that fits their study plan (e.g. Prospective PGWP student, grad student, etc.) and get the information they need to
1.	confirm that they are applying to a DLI that meets their need
2.	get the required information to apply for a study permit
o	are users able to understand the purpose of the page when landing on it
</t>
  </si>
  <si>
    <t xml:space="preserve">What decisions will be made with the output of this test? </t>
  </si>
  <si>
    <t>Are there any hypotheses you're already working with — things you suspect are true but need to validate or disprove?</t>
  </si>
  <si>
    <t>Are there any areas of the product you specifically want to include or exclude from testing?</t>
  </si>
  <si>
    <t>Is there anything you're worried about in the design?</t>
  </si>
  <si>
    <t>What does 'success' look like for this test — what would make you or your stakeholders feel it was worth doing?</t>
  </si>
  <si>
    <t>Users &amp; Participants</t>
  </si>
  <si>
    <t xml:space="preserve">Who is the primary target user for this page, program, or service? </t>
  </si>
  <si>
    <t>Are there demographics that are particularly important to include or exclude (e.g., accessibility needs, age ranges, tech literacy)?</t>
  </si>
  <si>
    <t>What level of prior experience with this product should participants have — first-time users, occasional users, power users, or a mix?</t>
  </si>
  <si>
    <t>What devices do your users typically use — desktop, mobile, tablet? Is there a known split?</t>
  </si>
  <si>
    <t xml:space="preserve">What is the geographic and language distribution of your users? </t>
  </si>
  <si>
    <t>Scope &amp; Tasks</t>
  </si>
  <si>
    <t>What are the specific tasks or user journeys you want us to test?</t>
  </si>
  <si>
    <t>Are these tasks based on actual observed user behaviour, or are they assumed flows?</t>
  </si>
  <si>
    <t>What is the starting point for each task — a specific URL, a particular app state, a logged-in or logged-out experience?</t>
  </si>
  <si>
    <t>Start from DLI page</t>
  </si>
  <si>
    <t>Are there prerequisite conditions for any tasks (e.g., the user must have already created an account, already applied for a visa)?</t>
  </si>
  <si>
    <t>No</t>
  </si>
  <si>
    <t>Should we be testing the current live product, a prototype, or a staging environment?</t>
  </si>
  <si>
    <t>Live page</t>
  </si>
  <si>
    <t>If it's a prototype — how complete is it? Are there dead ends, missing states, or known gaps we should know about?</t>
  </si>
  <si>
    <t>Are there any flows that are broken, incomplete, or should be avoided during testing?</t>
  </si>
  <si>
    <t>Timeline &amp; Logistics</t>
  </si>
  <si>
    <t>When do you need findings delivered by? Is there a specific decision gate, release date, or meeting this needs to feed into?</t>
  </si>
  <si>
    <t>Working backwards from that — what is the latest we can start recruitment?</t>
  </si>
  <si>
    <t>How much flexibility is there in the timeline if recruitment is slow or technical issues arise?</t>
  </si>
  <si>
    <t>What is the availability of your team to review screeners, tasks, and prototypes before fieldwork begins?</t>
  </si>
  <si>
    <t>What format do you want deliverables in — slide deck, written report, video highlights, a working session, or a combination?</t>
  </si>
  <si>
    <t xml:space="preserve">Who needs to receive the report? </t>
  </si>
  <si>
    <t>Stakeholders &amp; Decision-Making</t>
  </si>
  <si>
    <t>Who are the key stakeholders for this project?</t>
  </si>
  <si>
    <t>Who is the primary point of contact we should work with day-to-day?</t>
  </si>
  <si>
    <t xml:space="preserve">John, Sean, Emilien
Anne as needed. </t>
  </si>
  <si>
    <t>Does anyone need to approve the screener, tasks, and final deliverable?</t>
  </si>
  <si>
    <t>Are there known internal disagreements about the design we should be aware of — areas where the team is already debating what to do?</t>
  </si>
  <si>
    <t>After the Study</t>
  </si>
  <si>
    <t>Who owns the findings after delivery — who is responsible for tracking what gets acted on?</t>
  </si>
  <si>
    <t>WUX-TR</t>
  </si>
  <si>
    <t>Would you like a follow-up session after the report to work through prioritisation of issues?</t>
  </si>
  <si>
    <t>This is an option if time permits</t>
  </si>
  <si>
    <t>USABILITY TEST PLAN · Summary Dashboard</t>
  </si>
  <si>
    <t>TASK COMPLETION RATES (by Success Code)</t>
  </si>
  <si>
    <t>Metric</t>
  </si>
  <si>
    <t>Task 1</t>
  </si>
  <si>
    <t>Task 2</t>
  </si>
  <si>
    <t>Task 3</t>
  </si>
  <si>
    <t>Task 4</t>
  </si>
  <si>
    <t>Task 5</t>
  </si>
  <si>
    <t>Success</t>
  </si>
  <si>
    <t>Partial Fail</t>
  </si>
  <si>
    <t>Fail</t>
  </si>
  <si>
    <t>Time Limit</t>
  </si>
  <si>
    <t>Give Up</t>
  </si>
  <si>
    <t>Technical Issues</t>
  </si>
  <si>
    <t>Other</t>
  </si>
  <si>
    <t>Total Recorded</t>
  </si>
  <si>
    <t>Success Rate</t>
  </si>
  <si>
    <t>TOP-LEVEL FINDINGS SUMMARY</t>
  </si>
  <si>
    <t>Most Critical Issue</t>
  </si>
  <si>
    <t>Most Impacted Task</t>
  </si>
  <si>
    <t>Overall Success Rate</t>
  </si>
  <si>
    <t>Key Recommendation 1</t>
  </si>
  <si>
    <t>Key Recommendation 2</t>
  </si>
  <si>
    <t>Key Recommendation 3</t>
  </si>
  <si>
    <t>Follow-up Questions</t>
  </si>
  <si>
    <t>Next Steps</t>
  </si>
  <si>
    <t>USABILITY TEST PLAN · Test Goals</t>
  </si>
  <si>
    <t>STUDY METADATA</t>
  </si>
  <si>
    <t>Study Title</t>
  </si>
  <si>
    <t>Designated Learning Institutions - Usability Test</t>
  </si>
  <si>
    <t>Page or Product</t>
  </si>
  <si>
    <t>https://www.canada.ca/fr/immigration-refugies-citoyennete/services/etudier-canada/permis-etudes/preparer/liste-etablissements-enseignement-designes.html</t>
  </si>
  <si>
    <t>Research Lead</t>
  </si>
  <si>
    <t>Eric</t>
  </si>
  <si>
    <t>WUX Support</t>
  </si>
  <si>
    <t>Sean</t>
  </si>
  <si>
    <t>John</t>
  </si>
  <si>
    <t>Emilien</t>
  </si>
  <si>
    <t>Date(s) of Testing</t>
  </si>
  <si>
    <t>April 27 - MAy 22</t>
  </si>
  <si>
    <t>Methodology</t>
  </si>
  <si>
    <t>Unmoderated usability testing; French participants; mix of mobile + desktop</t>
  </si>
  <si>
    <t>STUDY GOALS</t>
  </si>
  <si>
    <t>#</t>
  </si>
  <si>
    <t>Research Goal</t>
  </si>
  <si>
    <t>Why It Matters</t>
  </si>
  <si>
    <t>How It Will Be Measured</t>
  </si>
  <si>
    <t>Priority</t>
  </si>
  <si>
    <t>1</t>
  </si>
  <si>
    <t>Overall page understandability - do users understand the page when they land on it?</t>
  </si>
  <si>
    <t>Core functionality must be intuitive for users</t>
  </si>
  <si>
    <t>Qualitative feedback</t>
  </si>
  <si>
    <t>High</t>
  </si>
  <si>
    <t>2</t>
  </si>
  <si>
    <t xml:space="preserve">Assess page usability for different user groups (e.g. PGWP; grad student; etc.)
-Can they confirm the DLI they want fits their needs (people should already have a DLI in mind)
-Can they explicitly list the criteria that makes it suitable? 
-Can they get the info needed to apply for a study permit? </t>
  </si>
  <si>
    <t>Content critical for ensuring user task success</t>
  </si>
  <si>
    <t>Task success rate; qualitative feedback</t>
  </si>
  <si>
    <t>3</t>
  </si>
  <si>
    <t>4</t>
  </si>
  <si>
    <t>5</t>
  </si>
  <si>
    <t>MEASUREMENT METHODS · Reference</t>
  </si>
  <si>
    <t>Description</t>
  </si>
  <si>
    <t>When to Use</t>
  </si>
  <si>
    <t>Time on Task</t>
  </si>
  <si>
    <t>Task time within UserLytics</t>
  </si>
  <si>
    <t>Efficiency; identifying slow flows</t>
  </si>
  <si>
    <t>Task Success Rate</t>
  </si>
  <si>
    <t>% of participants who complete task successfully</t>
  </si>
  <si>
    <t>Core usability health metric</t>
  </si>
  <si>
    <t>Error Rate</t>
  </si>
  <si>
    <t># of errors / incorrect actions per task attempt</t>
  </si>
  <si>
    <t>Identifying misleading UI elements</t>
  </si>
  <si>
    <t>Think-Aloud Feedback</t>
  </si>
  <si>
    <t>Verbal commentary captured during the session</t>
  </si>
  <si>
    <t>Understanding mental models &amp; confusion points</t>
  </si>
  <si>
    <t>USABILITY TEST PLAN · Tasks &amp; Scenarios</t>
  </si>
  <si>
    <t>Define each task scenario, the starting state, success criteria, and researcher notes.</t>
  </si>
  <si>
    <t>Task #</t>
  </si>
  <si>
    <t>Task Title</t>
  </si>
  <si>
    <t>Task Text English (for easier collab and drafting)</t>
  </si>
  <si>
    <t>Task Text French (shown to participant)</t>
  </si>
  <si>
    <t>Success Criteria</t>
  </si>
  <si>
    <t>Starting URL / Pre-conditions</t>
  </si>
  <si>
    <t>Time Limit
(mm:ss)</t>
  </si>
  <si>
    <t>Difficulty
Estimate</t>
  </si>
  <si>
    <t>Researcher Notes</t>
  </si>
  <si>
    <t>T1</t>
  </si>
  <si>
    <t>Impressions</t>
  </si>
  <si>
    <r>
      <rPr>
        <i/>
        <sz val="10"/>
        <color rgb="FF555555"/>
        <rFont val="Arial"/>
      </rPr>
      <t xml:space="preserve">Instructions: </t>
    </r>
    <r>
      <rPr>
        <sz val="10"/>
        <color rgb="FF555555"/>
        <rFont val="Arial"/>
      </rPr>
      <t xml:space="preserve">Look at this page for just 10 seconds, then close it and come back here. 
</t>
    </r>
    <r>
      <rPr>
        <i/>
        <sz val="10"/>
        <color rgb="FF555555"/>
        <rFont val="Arial"/>
      </rPr>
      <t xml:space="preserve">Question: </t>
    </r>
    <r>
      <rPr>
        <sz val="10"/>
        <color rgb="FF555555"/>
        <rFont val="Arial"/>
      </rPr>
      <t>Say out loud what you think that page is about.</t>
    </r>
  </si>
  <si>
    <t>Instructions : Regardez cette page pendant seulement 10 secondes, puis fermez-la et revenez ici.
Question : Dites à voix haute ce que vous pensez que cette page traite.</t>
  </si>
  <si>
    <r>
      <rPr>
        <b/>
        <sz val="9"/>
        <color rgb="FF555555"/>
        <rFont val="Arial"/>
      </rPr>
      <t xml:space="preserve">Success: 
</t>
    </r>
    <r>
      <rPr>
        <sz val="9"/>
        <color rgb="FF555555"/>
        <rFont val="Arial"/>
      </rPr>
      <t>Participant mentions:
-List of institutions
-Needed for study permit</t>
    </r>
  </si>
  <si>
    <t>Liste d'EED</t>
  </si>
  <si>
    <t>Easy</t>
  </si>
  <si>
    <t>Quick assessment of understandability</t>
  </si>
  <si>
    <t>T2</t>
  </si>
  <si>
    <t xml:space="preserve">Find DLI - PGWP </t>
  </si>
  <si>
    <r>
      <rPr>
        <strike/>
        <sz val="10"/>
        <color rgb="FF555555"/>
        <rFont val="Arial"/>
      </rPr>
      <t xml:space="preserve">You live in France with your adult children. </t>
    </r>
    <r>
      <rPr>
        <sz val="10"/>
        <color rgb="FF555555"/>
        <rFont val="Arial"/>
      </rPr>
      <t xml:space="preserve">Your daughter wants to complete the Bachelor of Music in Performance at the Royal Conservatory of Music, in Toronto (Ontario). Is that school and program eligible for a post-graduation work permit? </t>
    </r>
  </si>
  <si>
    <r>
      <rPr>
        <strike/>
        <sz val="10"/>
        <color rgb="FF555555"/>
        <rFont val="Arial"/>
      </rPr>
      <t>Vous habitez en France avec vos enfants adultes.</t>
    </r>
    <r>
      <rPr>
        <sz val="10"/>
        <color rgb="FF555555"/>
        <rFont val="Arial"/>
      </rPr>
      <t xml:space="preserve"> Votre fille souhaite terminer le baccalauréat en musique interprétation au Royal Conservatory of Music, à Toronto (Ontario). Cette école et ce programme sont-ils admissibles à un permis de travail postdiplôme ?</t>
    </r>
  </si>
  <si>
    <r>
      <rPr>
        <b/>
        <sz val="9"/>
        <color rgb="FF555555"/>
        <rFont val="Arial"/>
      </rPr>
      <t xml:space="preserve">Success: 
</t>
    </r>
    <r>
      <rPr>
        <sz val="9"/>
        <color rgb="FF555555"/>
        <rFont val="Arial"/>
      </rPr>
      <t xml:space="preserve">-Uses PGWP list to find RCoM in Toronto. Either province dropdown or filter search, no matter. 
-Clicks Details
-Correctly interprets details page
</t>
    </r>
    <r>
      <rPr>
        <b/>
        <sz val="9"/>
        <color rgb="FF555555"/>
        <rFont val="Arial"/>
      </rPr>
      <t xml:space="preserve">Partial success: 
</t>
    </r>
    <r>
      <rPr>
        <sz val="9"/>
        <color rgb="FF555555"/>
        <rFont val="Arial"/>
      </rPr>
      <t xml:space="preserve">-Uses PGWP list to find RCoM in Toronto. Either province dropdown or filter search, no matter. 
-Does NOT click details and answers just from DLI list
</t>
    </r>
    <r>
      <rPr>
        <b/>
        <sz val="9"/>
        <color rgb="FF555555"/>
        <rFont val="Arial"/>
      </rPr>
      <t xml:space="preserve">
Partial fail: 
</t>
    </r>
    <r>
      <rPr>
        <sz val="9"/>
        <color rgb="FF555555"/>
        <rFont val="Arial"/>
      </rPr>
      <t xml:space="preserve">-Finds RCoM in the first tab (not PGWP-specific) and answers yes from there
</t>
    </r>
    <r>
      <rPr>
        <b/>
        <sz val="9"/>
        <color rgb="FF555555"/>
        <rFont val="Arial"/>
      </rPr>
      <t xml:space="preserve">
Fail:
</t>
    </r>
    <r>
      <rPr>
        <sz val="9"/>
        <color rgb="FF555555"/>
        <rFont val="Arial"/>
      </rPr>
      <t>Does not find RCoM anywhere</t>
    </r>
  </si>
  <si>
    <t>Medium</t>
  </si>
  <si>
    <t>T3</t>
  </si>
  <si>
    <t xml:space="preserve">Additional PGWP eligibility. </t>
  </si>
  <si>
    <t xml:space="preserve">Continue from previous task, or start fresh from DLI page? 
Are there any other criteria your daughter needs to meet to be eligible for a post-graduation work permit? </t>
  </si>
  <si>
    <t>Y a-t-il d'autres critères que votre fille doit remplir pour être admissible à un permis de travail postdiplôme ?</t>
  </si>
  <si>
    <r>
      <rPr>
        <b/>
        <sz val="9"/>
        <color rgb="FF555555"/>
        <rFont val="Arial"/>
      </rPr>
      <t xml:space="preserve">Success:
</t>
    </r>
    <r>
      <rPr>
        <sz val="9"/>
        <color rgb="FF555555"/>
        <rFont val="Arial"/>
      </rPr>
      <t xml:space="preserve">-Navigates to any PGWP page from expando on the DLI-PGWP tab OR from a Details page
-Identifies PGWP requirements (even vaguely, so long as they state they need to meet the criteria)
-OR just opens the Tous les critères d’admissibilité au PTPD expando and says they need to be eligible. 
</t>
    </r>
    <r>
      <rPr>
        <b/>
        <sz val="9"/>
        <color rgb="FF555555"/>
        <rFont val="Arial"/>
      </rPr>
      <t xml:space="preserve">Partial success: 
</t>
    </r>
    <r>
      <rPr>
        <sz val="9"/>
        <color rgb="FF555555"/>
        <rFont val="Arial"/>
      </rPr>
      <t xml:space="preserve">-States they must meet PGWP eligibility but doesn't open expando or navigate to a PGWP page
-Uses search to reach PGWP instead
Partial fail: 
-Guesses about other requirements but without specifics, e.g. "I'm sure there must be other requirements to meet"
Fail: 
-Doesn't attempt an answer or states there are no further requirements. </t>
    </r>
  </si>
  <si>
    <t xml:space="preserve">Liste d'EED 
OR possibly Details page from previous task? </t>
  </si>
  <si>
    <t>T4</t>
  </si>
  <si>
    <t xml:space="preserve">Study permit reqs. </t>
  </si>
  <si>
    <t>You want to attend the Island Career Academy in Nova Scotia. What information do you need to include on your study permit application?</t>
  </si>
  <si>
    <t>Vous voulez fréquenter l'Island Career Academy en Nouvelle-Écosse. Quelles informations devez-vous inclure dans votre demande de permis d'études ?</t>
  </si>
  <si>
    <r>
      <rPr>
        <b/>
        <sz val="9"/>
        <color rgb="FF555555"/>
        <rFont val="Arial"/>
      </rPr>
      <t xml:space="preserve">Success: 
</t>
    </r>
    <r>
      <rPr>
        <sz val="9"/>
        <color rgb="FF555555"/>
        <rFont val="Arial"/>
      </rPr>
      <t xml:space="preserve">-Finds ICA in the DLI list.
-Finds text inside How To Find the Right DLI expando that mentions DLI number
-Correctly interprets that need to include O19370893142 on their application. Specifies that number
</t>
    </r>
    <r>
      <rPr>
        <b/>
        <sz val="9"/>
        <color rgb="FF555555"/>
        <rFont val="Arial"/>
      </rPr>
      <t xml:space="preserve">
Partial success: 
</t>
    </r>
    <r>
      <rPr>
        <sz val="9"/>
        <color rgb="FF555555"/>
        <rFont val="Arial"/>
      </rPr>
      <t xml:space="preserve">-EITHER finds the Island Career Academy in the list OR finds the text in the expando, but not both
</t>
    </r>
    <r>
      <rPr>
        <b/>
        <sz val="9"/>
        <color rgb="FF555555"/>
        <rFont val="Arial"/>
      </rPr>
      <t xml:space="preserve">
Partial fail: 
???
Fail: 
</t>
    </r>
    <r>
      <rPr>
        <sz val="9"/>
        <color rgb="FF555555"/>
        <rFont val="Arial"/>
      </rPr>
      <t xml:space="preserve">-Finds neither the text about study permits in expando, nor the institution in the DLI list. </t>
    </r>
  </si>
  <si>
    <t>T5</t>
  </si>
  <si>
    <t>Possible EXTRA task: DLI "Shopping"</t>
  </si>
  <si>
    <t xml:space="preserve">Find a school in Ontario where you can complete the Masters of Science in Cybersecurity program, and be eligible for a post-graduation work permit. </t>
  </si>
  <si>
    <t>Trouvez une école en Ontario où vous pouvez compléter le programme de maîtrise en sciences en cybersécurité et être admissible à un permis de travail après vos études.</t>
  </si>
  <si>
    <r>
      <rPr>
        <b/>
        <sz val="9"/>
        <color rgb="FF555555"/>
        <rFont val="Arial"/>
      </rPr>
      <t>Success: 
-</t>
    </r>
    <r>
      <rPr>
        <sz val="9"/>
        <color rgb="FF555555"/>
        <rFont val="Arial"/>
      </rPr>
      <t xml:space="preserve">Identifies the Michener Institute
</t>
    </r>
    <r>
      <rPr>
        <b/>
        <sz val="9"/>
        <color rgb="FF555555"/>
        <rFont val="Arial"/>
      </rPr>
      <t>Partial success: 
-</t>
    </r>
    <r>
      <rPr>
        <sz val="9"/>
        <color rgb="FF555555"/>
        <rFont val="Arial"/>
      </rPr>
      <t xml:space="preserve">Uses PGWP tab, filters for Ontario, and either filters for "health" or looks for that keyword, but can't identify a specific DLI.
</t>
    </r>
    <r>
      <rPr>
        <b/>
        <sz val="9"/>
        <color rgb="FF555555"/>
        <rFont val="Arial"/>
      </rPr>
      <t xml:space="preserve">Partial fail: 
</t>
    </r>
    <r>
      <rPr>
        <sz val="9"/>
        <color rgb="FF555555"/>
        <rFont val="Arial"/>
      </rPr>
      <t xml:space="preserve">-Goes to PGWP tab but doesn't filter further
-Goes to general tab (1st) and filters for Ontario and/or health
</t>
    </r>
    <r>
      <rPr>
        <b/>
        <sz val="9"/>
        <color rgb="FF555555"/>
        <rFont val="Arial"/>
      </rPr>
      <t xml:space="preserve">Fail: 
</t>
    </r>
    <r>
      <rPr>
        <sz val="9"/>
        <color rgb="FF555555"/>
        <rFont val="Arial"/>
      </rPr>
      <t>-Doesn't go to PGWP tab at all; Doesn't filter in any other tab (e.g. no real attempt to find something)</t>
    </r>
  </si>
  <si>
    <t>Very Hard</t>
  </si>
  <si>
    <t>This comes up in PFT a lot - people want a shopping tool a la Program Finder or Newcomers too</t>
  </si>
  <si>
    <t>Q1</t>
  </si>
  <si>
    <t>Post-test question: Preference between DLI and SPO</t>
  </si>
  <si>
    <t xml:space="preserve">You saw two different tools designed to help people immigrating to Canada. One to help them find the right school, and the other to help them find services near them. Which tool did you prefer, and why? </t>
  </si>
  <si>
    <t>Vous avez vu deux outils différents conçus pour aider les personnes immigrantes au Canada. L'un pour les aider à trouver la bonne école, et l'autre pour les aider à trouver des services près d'eux. Lequel de ces outils avez-vous préféré et pourquoi ?</t>
  </si>
  <si>
    <t>n/a</t>
  </si>
  <si>
    <t>USABILITY TEST PLAN · Participants</t>
  </si>
  <si>
    <t>SECTION A · Desired Participant Profile &amp; Screening Criteria</t>
  </si>
  <si>
    <t>Target User Group</t>
  </si>
  <si>
    <t>Age Range</t>
  </si>
  <si>
    <t>18-40 (see if younger is possible?) (possible screening question - parent of high school child? or write tasks from parent perspective?)</t>
  </si>
  <si>
    <t>Tech Proficiency</t>
  </si>
  <si>
    <t>Mix</t>
  </si>
  <si>
    <t>Device Requirement</t>
  </si>
  <si>
    <t>Half mobile, half desk</t>
  </si>
  <si>
    <t>Language</t>
  </si>
  <si>
    <t>French speakers</t>
  </si>
  <si>
    <t>Location</t>
  </si>
  <si>
    <t>Mix of inside and outside Canada</t>
  </si>
  <si>
    <t>Exclusion Criteria</t>
  </si>
  <si>
    <t>None for now</t>
  </si>
  <si>
    <t>Sample Size</t>
  </si>
  <si>
    <t>12 total: 6 mob, 6 desk. Split into more tests for in and outside Canada.</t>
  </si>
  <si>
    <t>Incentive</t>
  </si>
  <si>
    <t>Handled by UL</t>
  </si>
  <si>
    <t>SECTION B · Recruited Participant Details</t>
  </si>
  <si>
    <t>P #</t>
  </si>
  <si>
    <t>Name / Code</t>
  </si>
  <si>
    <t>Age</t>
  </si>
  <si>
    <t>Country</t>
  </si>
  <si>
    <t>Device Type</t>
  </si>
  <si>
    <t>OS</t>
  </si>
  <si>
    <t>Recruited By</t>
  </si>
  <si>
    <t>Session Date &amp; Time</t>
  </si>
  <si>
    <t>Notes</t>
  </si>
  <si>
    <t>P01</t>
  </si>
  <si>
    <t>P02</t>
  </si>
  <si>
    <t>P03</t>
  </si>
  <si>
    <t>P04</t>
  </si>
  <si>
    <t>P05</t>
  </si>
  <si>
    <t>P06</t>
  </si>
  <si>
    <t>P07</t>
  </si>
  <si>
    <t>P08</t>
  </si>
  <si>
    <t>P09</t>
  </si>
  <si>
    <t>P10</t>
  </si>
  <si>
    <t>P11</t>
  </si>
  <si>
    <t>USABILITY TEST PLAN · Session Data</t>
  </si>
  <si>
    <t>TASK 1</t>
  </si>
  <si>
    <t>TASK 2</t>
  </si>
  <si>
    <t>TASK 3</t>
  </si>
  <si>
    <t>TASK 4</t>
  </si>
  <si>
    <t>TASK 5</t>
  </si>
  <si>
    <t>Time
on Task</t>
  </si>
  <si>
    <t>Success
Code</t>
  </si>
  <si>
    <t>Observations / Notes</t>
  </si>
  <si>
    <t>fdghfghfgh</t>
  </si>
  <si>
    <t>fghfdghfdgh</t>
  </si>
  <si>
    <t>P12</t>
  </si>
  <si>
    <t>P13</t>
  </si>
  <si>
    <t>P14</t>
  </si>
  <si>
    <t>P15</t>
  </si>
  <si>
    <t>SUCCESS CODE LEGEND</t>
  </si>
  <si>
    <t>Participant completed the task fully and correctly within the time limit.</t>
  </si>
  <si>
    <t>Participant completed the task but with significant errors, help, or workarounds.</t>
  </si>
  <si>
    <t>Participant did not complete the task and gave an incorrect outcome.</t>
  </si>
  <si>
    <t>Participant ran out of time before completing the task.</t>
  </si>
  <si>
    <t>Participant abandoned the task of their own volition.</t>
  </si>
  <si>
    <t>Session interrupted by a technical problem unrelated to the participant.</t>
  </si>
  <si>
    <t>Does not fit any other category. Add details in Observations.</t>
  </si>
  <si>
    <t>USABILITY TEST PLAN · Analysis &amp; Recommendations</t>
  </si>
  <si>
    <t>Synthesize findings per task. Identify key issues, severity, and actionable recommendations.</t>
  </si>
  <si>
    <t>Analysis Dimension</t>
  </si>
  <si>
    <t>Key Usability Issues Observed</t>
  </si>
  <si>
    <t>List specific problems seen across participants.</t>
  </si>
  <si>
    <t>Frequency</t>
  </si>
  <si>
    <t>Severity</t>
  </si>
  <si>
    <t>Root Cause (Hypothesis)</t>
  </si>
  <si>
    <t>Supporting Quotes / Observations</t>
  </si>
  <si>
    <t>Recommendations</t>
  </si>
  <si>
    <t>Priority for Fix</t>
  </si>
  <si>
    <t>Effort Estimate</t>
  </si>
  <si>
    <t>Additional Notes</t>
  </si>
  <si>
    <t>SEVERITY RATING GUIDE</t>
  </si>
  <si>
    <t>Definition</t>
  </si>
  <si>
    <t>Frequency Threshold</t>
  </si>
  <si>
    <t>Recommended Action</t>
  </si>
  <si>
    <t>Critical</t>
  </si>
  <si>
    <t>Prevents task completion; user cannot proceed</t>
  </si>
  <si>
    <t>≥ 50% of participants</t>
  </si>
  <si>
    <t>Fix before launch</t>
  </si>
  <si>
    <t>Causes significant struggle; workaround is painful</t>
  </si>
  <si>
    <t>≥ 30% of participants</t>
  </si>
  <si>
    <t>Fix in next sprint</t>
  </si>
  <si>
    <t>Causes confusion or delay but task is completable</t>
  </si>
  <si>
    <t>≥ 20% of participants</t>
  </si>
  <si>
    <t>Schedule for roadmap</t>
  </si>
  <si>
    <t>Low</t>
  </si>
  <si>
    <t>Minor annoyance; cosmetic or edge-case issue</t>
  </si>
  <si>
    <t>&lt; 20% of participants</t>
  </si>
  <si>
    <t>Backlog / nice-to-have</t>
  </si>
  <si>
    <t xml:space="preserve">  HELP &amp; GUIDANCE  ·  Best Practices for Usability Testing</t>
  </si>
  <si>
    <t xml:space="preserve">  A reference guide for each phase of your usability test — practical tips and curated external reading.</t>
  </si>
  <si>
    <t xml:space="preserve">  All links open in your browser. Tip: use Ctrl+Click (Windows) or Cmd+Click (Mac) to follow hyperlinks in Excel.</t>
  </si>
  <si>
    <t xml:space="preserve">  Running an Effective Kickoff Meeting</t>
  </si>
  <si>
    <t xml:space="preserve">  Practical Guidelines</t>
  </si>
  <si>
    <t xml:space="preserve">  Further Reading</t>
  </si>
  <si>
    <t>1.  Start with the decision, not the feature
Before diving into tasks to test, anchor the whole conversation on what decision this testing will inform. If stakeholders can't name one, that is the first problem to solve.</t>
  </si>
  <si>
    <t>NNG: Stakeholder Buy-In for UX Research</t>
  </si>
  <si>
    <t>2.  Send questions in advance
Share the kickoff question list 48 hours early. Stakeholders arrive better prepared, meetings run shorter, and you get more considered answers rather than reactive ones.</t>
  </si>
  <si>
    <t>NNG: Research Learning Spirals</t>
  </si>
  <si>
    <t>3.  Surface disagreements early
If the room can't agree on the top priority research question, document both views rather than forcing false consensus. Unresolved disagreements surface during analysis — better to name them now.</t>
  </si>
  <si>
    <t>UX Collective: Aligning Stakeholders</t>
  </si>
  <si>
    <t>4.  Ask 'what would change your mind?'
For each goal, ask stakeholders what evidence would cause them to change course. This reveals which questions are genuinely open and which are fishing for validation.</t>
  </si>
  <si>
    <t>Maze: Research Ops Handbook</t>
  </si>
  <si>
    <t>5.  Clarify sign-off chains before you leave
Confirm who approves the screener, tasks, and final report — and in what order. A missing approval can delay fieldwork by weeks.</t>
  </si>
  <si>
    <t>ResearchOps Community</t>
  </si>
  <si>
    <t>6.  Record or take structured notes
Assign a dedicated note-taker so the facilitator can stay focused. Review notes within 24 hours while memory is fresh and send a summary back to stakeholders to confirm alignment.</t>
  </si>
  <si>
    <t>NNG: Documenting UX Research</t>
  </si>
  <si>
    <t xml:space="preserve">  Defining Effective Study Goals</t>
  </si>
  <si>
    <t>1.  Distinguish research goals from organizational goals
An organizational goal is 'reduce churn'. A research goal is 'understand why users abandon the onboarding flow after step 3'. Usability tests answer research questions, not organizational metrics directly.</t>
  </si>
  <si>
    <t>NNG: Research Questions vs. Business Goals</t>
  </si>
  <si>
    <t>2.  Limit yourself to 3-5 goals per study
More than five goals usually means the study is trying to do too much. Prioritise ruthlessly. A focused study with clear answers is worth far more than a sprawling one with ambiguous takeaways.</t>
  </si>
  <si>
    <t>Usability.gov: Planning a Usability Test</t>
  </si>
  <si>
    <t>3.  Write goals as questions, not statements
'Evaluate the checkout flow' is a topic. 'Can users complete a purchase without assistance in under 4 minutes?' is a testable goal. The question form forces you to think about what evidence you need.</t>
  </si>
  <si>
    <t>IxDF: Formulating UX Research Goals</t>
  </si>
  <si>
    <t>4.  Pair every goal with a measurement method
For each goal, define up front how you will know if it has been met — task success rate, time on task, error count, qualitative theme, or a scale score. Unmeasured goals are just intentions.</t>
  </si>
  <si>
    <t>NNG: Measuring Usability</t>
  </si>
  <si>
    <t>5.  Get stakeholder sign-off on goals before writing tasks
Goals drive task selection. If goals shift after tasks are written, you may have to rewrite the entire discussion guide. Locking goals early is the highest-leverage step in the planning phase.</t>
  </si>
  <si>
    <t>Dovetail: Customer Research Guide</t>
  </si>
  <si>
    <t xml:space="preserve">  Common mistake: writing goals that are really just a list of features to evaluate ('test the navigation, the search, and the filters'). Push back by asking: what decision will that information inform?</t>
  </si>
  <si>
    <t xml:space="preserve">  Writing Strong Test Tasks</t>
  </si>
  <si>
    <t>1.  Use scenario framing, not instructions
Instead of 'Click on the profile menu and change your name', write 'You have just moved. Please update your account to reflect your new address.' Scenarios activate realistic mental models.</t>
  </si>
  <si>
    <t>NNG: Writing Usability Test Tasks</t>
  </si>
  <si>
    <t>2.  Never embed the answer in the task
Avoid using the exact UI label in the task wording. If the button says 'Create an account, don't write 'Find a way to create a new account'. This tests recognition, not usability.</t>
  </si>
  <si>
    <t>NNG: Priming in Usability Testing</t>
  </si>
  <si>
    <t>3.  Make tasks realistic and specific
Vague tasks ('explore the site') produce vague data. Ground each task in a concrete goal a real user would have: a program to find, an amount to enter, a form to submit.</t>
  </si>
  <si>
    <t>Usability.gov: Task Development</t>
  </si>
  <si>
    <t>4.  Pilot every task before fieldwork
Run each task with one internal colleague who matches the participant profile. You will immediately find ambiguous wording, missing pre-conditions, and tasks that are too long.</t>
  </si>
  <si>
    <t>NNG: Pilot Testing</t>
  </si>
  <si>
    <t>5.  Set a realistic time limit per task
Time limits keep sessions on schedule and provide a natural stopping condition. A common rule of thumb: if a task takes longer than 5 minutes in a pilot, either simplify it or split it in two.</t>
  </si>
  <si>
    <t>Maze: Usability Test Structure</t>
  </si>
  <si>
    <t>6.  Sequence tasks to mirror real user journeys
Where possible, order tasks so they follow a logical progression (e.g., search then view then purchase). Artificial task sequences can confuse participants and create carry-over effects.</t>
  </si>
  <si>
    <t>IxDF: Test Task Sequencing</t>
  </si>
  <si>
    <t xml:space="preserve">  Recruitment &amp; Participant Selection</t>
  </si>
  <si>
    <t>1.  Define screener criteria from your testing goals
Work backwards from your goals: what must be true about a participant for their data to be valid? List must-haves (e.g., active smartphone user) and nice-to-haves separately to avoid over-constraining recruitment.</t>
  </si>
  <si>
    <t>NNG: Recruiting Usability Participants</t>
  </si>
  <si>
    <t>2.  5 participants reveal ~85% of usability issues
Nielsen's original finding still holds for qualitative discovery studies. For quantitative benchmarking or multiple distinct user groups, sample sizes of 20+ are more appropriate.</t>
  </si>
  <si>
    <t>NNG: How Many Test Users?</t>
  </si>
  <si>
    <t>3.  Recruit 20% more participants than you need
No-shows, late cancellations, and disqualifications are common. Buffer your recruitment target accordingly. For 10 sessions, recruit at least 12 and confirm the day before.</t>
  </si>
  <si>
    <t>UserZoom: Recruiting for Research</t>
  </si>
  <si>
    <t>4.  Spread sessions across different times of day
If recruiting working professionals, morning-only slots will bias your sample toward certain roles. Offer morning, midday, and afternoon options to maximise diversity.</t>
  </si>
  <si>
    <t>Dovetail: Recruitment Best Practices</t>
  </si>
  <si>
    <t>5.  Avoid friends, family, and colleagues
People who know the product team are less likely to give candid feedback and more likely to be forgiving of issues. Use external panels, CRM outreach, or intercept recruiting instead.</t>
  </si>
  <si>
    <t>NNG: Participant Selection</t>
  </si>
  <si>
    <t>6.  Document no-shows and replacements
Track who was recruited, who attended, and why anyone was excluded. This data protects you if stakeholders later question the representativeness of your sample.</t>
  </si>
  <si>
    <t>ResearchOps: Participant Management</t>
  </si>
  <si>
    <t xml:space="preserve">  Screener design tip: include one or two disqualifying questions that participants cannot easily game. For example, instead of asking 'Do you shop online?' (everyone says yes), ask how many online purchases they made in the last month.</t>
  </si>
  <si>
    <t xml:space="preserve">  Collecting &amp; Recording Session Data</t>
  </si>
  <si>
    <t xml:space="preserve">  Corresponds to: Data tab</t>
  </si>
  <si>
    <t>1.  Use the success codes consistently across all sessions
Brief all observers before the first session on exactly what constitutes Success vs. Partial Fail vs. Give Up. Inconsistent coding makes cross-participant comparisons unreliable.</t>
  </si>
  <si>
    <t>NNG: Scoring Usability Tests</t>
  </si>
  <si>
    <t>2.  Capture observations in real time, not from memory
Note verbatim quotes, specific UI elements that caused confusion, and exact moments of hesitation. Reconstructed notes written after the session lose the critical details.</t>
  </si>
  <si>
    <t>NNG: Note-taking During Testing</t>
  </si>
  <si>
    <t>3.  Record time-on-task from task read to final action
Start the clock when the participant finishes reading the task aloud (not when you finish reading it to them). Stop the clock at the moment of completion or abandonment.</t>
  </si>
  <si>
    <t>Usability.gov: Time on Task</t>
  </si>
  <si>
    <t>4.  Assign separate observers for note-taking and tech
The session facilitator should never also be managing the recording software. A second person handling logistics lets the facilitator stay fully present in the conversation.</t>
  </si>
  <si>
    <t>NNG: Observers in Usability Studies</t>
  </si>
  <si>
    <t>5.  Log technical issues immediately as they happen
Use the 'Technical Issues' code and note the exact symptom in Observations. A pattern of technical issues across participants may indicate a prototype bug or environmental problem, not a user error.</t>
  </si>
  <si>
    <t>Maze: Remote Testing Setup</t>
  </si>
  <si>
    <t>6.  Debrief observers after each session
A 5-minute debrief immediately after each session lets the team align on key observations while memory is fresh. This also prevents one vocal observer from dominating synthesis.</t>
  </si>
  <si>
    <t>NNG: Debrief Sessions</t>
  </si>
  <si>
    <t xml:space="preserve">  A note on 'Partial Fail': resist the temptation to be generous with this code. If the participant completed the task but required more than two redirects, significant backtracking, or help from the facilitator, that is a meaningful finding — not a partial success.</t>
  </si>
  <si>
    <t xml:space="preserve">  Analysing &amp; Synthesising Findings</t>
  </si>
  <si>
    <t xml:space="preserve">  Corresponds to: Analysis tab</t>
  </si>
  <si>
    <t>1.  Use affinity diagramming to cluster observations
After sessions end, write each observation on a separate sticky note (physical or digital) and cluster them by theme. Patterns that emerge from the data are more credible than patterns you went looking for.</t>
  </si>
  <si>
    <t>NNG: Affinity Diagramming</t>
  </si>
  <si>
    <t>2.  Calculate task success rate as your headline metric
Success rate = (number of successful completions) / (total attempts). Report it per task and overall. Even stakeholders unfamiliar with UX research immediately understand a percentage.</t>
  </si>
  <si>
    <t>NNG: Success Rate Metrics</t>
  </si>
  <si>
    <t>3.  Rate severity before prioritising recommendations
Use the four-point severity scale (Critical / High / Medium / Low) defined in this tab. Issues that block task completion are always Critical regardless of how infrequently they occur.</t>
  </si>
  <si>
    <t>NNG: Severity Ratings</t>
  </si>
  <si>
    <t>4.  Separate observation from inference
In your notes, clearly distinguish what you observed ('participant clicked the wrong button three times') from what you infer ('the icon is ambiguous'). Both are valuable but should not be conflated.</t>
  </si>
  <si>
    <t>IxDF: Usability Analysis Methods</t>
  </si>
  <si>
    <t>5.  Invite stakeholders into synthesis, not just readout
An analysis workshop where product and design team members help cluster findings produces stronger buy-in than a polished report delivered cold. People support findings they helped discover.</t>
  </si>
  <si>
    <t>NNG: Collaborative Analysis</t>
  </si>
  <si>
    <t>6.  Tie every recommendation to a specific observation
Every 'we recommend X' should reference 'because we observed Y in N/10 sessions'. Unanchored recommendations feel like opinions; anchored ones feel like evidence.</t>
  </si>
  <si>
    <t>Dovetail: Communicating Research</t>
  </si>
  <si>
    <t xml:space="preserve">  Avoid the 'laundry list' report — a 40-item issue log where everything is Medium severity. Stakeholders cannot act on everything at once. Force a ranking: what are the three issues that, if fixed, would most improve task success rates?</t>
  </si>
  <si>
    <t xml:space="preserve">  Reporting &amp; Presenting Findings</t>
  </si>
  <si>
    <t xml:space="preserve">  Corresponds to: Summary / Dashboard tab</t>
  </si>
  <si>
    <t>1.  Lead with the decision, not the methodology
Stakeholders care about what to do next. Open with your top three findings and recommendations. Save sample size, session format, and task design for the appendix.</t>
  </si>
  <si>
    <t>NNG: Communicating Research Findings</t>
  </si>
  <si>
    <t>2.  Show, don't just tell — use session clips
A 60-second video clip of a participant struggling with a flow is more persuasive than any bar chart. Obtain consent during recruitment and keep a library of clipped moments.</t>
  </si>
  <si>
    <t>NNG: Highlight Reels</t>
  </si>
  <si>
    <t>3.  Distinguish findings from recommendations
A finding is neutral: 'Seven of ten participants could not locate the settings menu.' A recommendation is actionable: 'Move settings into the main navigation bar.' Mixing them muddies both.</t>
  </si>
  <si>
    <t>UX Collective: Writing Research Reports</t>
  </si>
  <si>
    <t>4.  Include a one-page executive summary
Senior stakeholders may not read the full report. A single page with overall success rate, the top three issues, and the top three recommendations ensures the most important information gets through.</t>
  </si>
  <si>
    <t>NNG: Executive Summaries for Research</t>
  </si>
  <si>
    <t>5.  Track findings in a research repository
Log findings with tags for product area, participant type, and date. Over time, a repository reveals patterns across multiple studies and prevents the same issues from being 'discovered' repeatedly.</t>
  </si>
  <si>
    <t>Dovetail: Building a Research Repository</t>
  </si>
  <si>
    <t>6.  Close the loop with a follow-up check-in
Schedule a 30-minute check-in 4-6 weeks after the report is delivered to review which recommendations were implemented. This builds accountability and makes the case for continued investment in research.</t>
  </si>
  <si>
    <t xml:space="preserve">  A practical delivery format: share the written report 48 hours before the readout meeting so stakeholders can read it in advance. Use the meeting itself for discussion and prioritisation, not for walking through slides line by line.</t>
  </si>
  <si>
    <t xml:space="preserve">  General Usability Testing Resources</t>
  </si>
  <si>
    <t xml:space="preserve">  Curated references to deepen your practice</t>
  </si>
  <si>
    <t xml:space="preserve">  Resource</t>
  </si>
  <si>
    <t xml:space="preserve">  What It Covers</t>
  </si>
  <si>
    <t>The most comprehensive freely available resource on usability testing. Search any specific topic — screener writing, task design, analysis, reporting — and you will find a rigorous, evidence-based article.</t>
  </si>
  <si>
    <t>Nielsen Norman Group (nngroup.com)</t>
  </si>
  <si>
    <t>US government-produced guidance covering the full usability testing lifecycle. Practical, jargon-free, and well-structured for practitioners at any level.</t>
  </si>
  <si>
    <t>Usability.gov — How-To &amp; Tools</t>
  </si>
  <si>
    <t>Encyclopaedic coverage of usability testing concepts, with free and paid courses. Good for building foundational literacy across a team.</t>
  </si>
  <si>
    <t>Interaction Design Foundation — Usability Testing</t>
  </si>
  <si>
    <t>Practical, modern guides covering remote and unmoderated testing, analysis, and research operations. Especially useful if you are running tests at scale.</t>
  </si>
  <si>
    <t>Maze Research Hub</t>
  </si>
  <si>
    <t>A practical handbook covering research planning, recruitment, facilitation, synthesis, and reporting. Well-suited as a day-to-day reference.</t>
  </si>
  <si>
    <t>Dovetail UX Research Field Guide</t>
  </si>
  <si>
    <t>The definitive practical book on DIY usability testing. Essential reading for researchers who run their own studies. Short, actionable, and genuinely funny.</t>
  </si>
  <si>
    <t>Steve Krug — Rocket Surgery Made Easy</t>
  </si>
  <si>
    <t>Global community focused on the operational side of research — recruitment panels, consent frameworks, tooling, repositories, and making research scale inside organisations.</t>
  </si>
  <si>
    <t>The original 10-item post-study questionnaire. Free to use, widely benchmarked, and gives you a single comparable score. Scores above 68 are considered above average.</t>
  </si>
  <si>
    <t>System Usability Scale (SUS) — Brooke 1996</t>
  </si>
  <si>
    <t>A single 7-point question asked after each task ('How difficult or easy was this task?'). Quick to administer and correlates well with task performance data.</t>
  </si>
  <si>
    <t>Single Ease Question (SEQ) — NNG</t>
  </si>
  <si>
    <t>If accessibility is in scope, these are the international standards your product should be tested against. Consider including at least one participant who uses assistive technology.</t>
  </si>
  <si>
    <t>WCAG 2.2 Accessibility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</si>
</sst>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charset val="1"/>
    </font>
    <font>
      <b/>
      <sz val="16"/>
      <color rgb="FFFFFFFF"/>
      <name val="Arial"/>
      <charset val="1"/>
    </font>
    <font>
      <i/>
      <sz val="10"/>
      <color rgb="FF555555"/>
      <name val="Arial"/>
      <charset val="1"/>
    </font>
    <font>
      <b/>
      <sz val="10"/>
      <color rgb="FFFFFFFF"/>
      <name val="Arial"/>
      <charset val="1"/>
    </font>
    <font>
      <b/>
      <sz val="11"/>
      <color rgb="FFFFFFFF"/>
      <name val="Arial"/>
      <charset val="1"/>
    </font>
    <font>
      <b/>
      <sz val="12"/>
      <color rgb="FF1A5276"/>
      <name val="Arial"/>
      <charset val="1"/>
    </font>
    <font>
      <sz val="10"/>
      <color rgb="FF1A1A1A"/>
      <name val="Arial"/>
      <charset val="1"/>
    </font>
    <font>
      <b/>
      <sz val="12"/>
      <color rgb="FF145A32"/>
      <name val="Arial"/>
      <charset val="1"/>
    </font>
    <font>
      <b/>
      <sz val="12"/>
      <color rgb="FF6E2FA0"/>
      <name val="Arial"/>
      <charset val="1"/>
    </font>
    <font>
      <b/>
      <sz val="12"/>
      <color rgb="FF7D6608"/>
      <name val="Arial"/>
      <charset val="1"/>
    </font>
    <font>
      <b/>
      <sz val="12"/>
      <color rgb="FF784212"/>
      <name val="Arial"/>
      <charset val="1"/>
    </font>
    <font>
      <i/>
      <sz val="9"/>
      <color rgb="FF555555"/>
      <name val="Arial"/>
      <charset val="1"/>
    </font>
    <font>
      <b/>
      <sz val="10"/>
      <color rgb="FF1B2A4A"/>
      <name val="Arial"/>
      <charset val="1"/>
    </font>
    <font>
      <sz val="10"/>
      <color rgb="FF555555"/>
      <name val="Arial"/>
      <charset val="1"/>
    </font>
    <font>
      <b/>
      <sz val="11"/>
      <color rgb="FF276221"/>
      <name val="Arial"/>
      <charset val="1"/>
    </font>
    <font>
      <b/>
      <sz val="12"/>
      <color rgb="FF276221"/>
      <name val="Arial"/>
      <charset val="1"/>
    </font>
    <font>
      <b/>
      <sz val="9"/>
      <color rgb="FF276221"/>
      <name val="Arial"/>
      <charset val="1"/>
    </font>
    <font>
      <sz val="9"/>
      <color rgb="FF555555"/>
      <name val="Arial"/>
      <charset val="1"/>
    </font>
    <font>
      <b/>
      <sz val="9"/>
      <color rgb="FF9C6500"/>
      <name val="Arial"/>
      <charset val="1"/>
    </font>
    <font>
      <b/>
      <sz val="9"/>
      <color rgb="FF9C0006"/>
      <name val="Arial"/>
      <charset val="1"/>
    </font>
    <font>
      <b/>
      <sz val="9"/>
      <color rgb="FF8B4513"/>
      <name val="Arial"/>
      <charset val="1"/>
    </font>
    <font>
      <b/>
      <sz val="9"/>
      <color rgb="FF6B2FA0"/>
      <name val="Arial"/>
      <charset val="1"/>
    </font>
    <font>
      <b/>
      <sz val="9"/>
      <color rgb="FF444444"/>
      <name val="Arial"/>
      <charset val="1"/>
    </font>
    <font>
      <b/>
      <sz val="9"/>
      <color rgb="FF1A7A6E"/>
      <name val="Arial"/>
      <charset val="1"/>
    </font>
    <font>
      <i/>
      <sz val="9"/>
      <color rgb="FFAAAAAA"/>
      <name val="Arial"/>
      <charset val="1"/>
    </font>
    <font>
      <b/>
      <sz val="10"/>
      <color rgb="FF9C0006"/>
      <name val="Arial"/>
      <charset val="1"/>
    </font>
    <font>
      <b/>
      <sz val="10"/>
      <color rgb="FF8B4513"/>
      <name val="Arial"/>
      <charset val="1"/>
    </font>
    <font>
      <b/>
      <sz val="10"/>
      <color rgb="FF9C6500"/>
      <name val="Arial"/>
      <charset val="1"/>
    </font>
    <font>
      <b/>
      <sz val="10"/>
      <color rgb="FF276221"/>
      <name val="Arial"/>
      <charset val="1"/>
    </font>
    <font>
      <b/>
      <sz val="13"/>
      <color rgb="FFFFFFFF"/>
      <name val="Arial"/>
      <charset val="1"/>
    </font>
    <font>
      <i/>
      <sz val="10"/>
      <color rgb="FFFFFFFF"/>
      <name val="Arial"/>
      <charset val="1"/>
    </font>
    <font>
      <u/>
      <sz val="10"/>
      <color rgb="FF1155CC"/>
      <name val="Arial"/>
      <charset val="1"/>
    </font>
    <font>
      <u/>
      <sz val="11"/>
      <color theme="10"/>
      <name val="Calibri"/>
      <family val="2"/>
      <charset val="1"/>
    </font>
    <font>
      <i/>
      <sz val="10"/>
      <color rgb="FF555555"/>
      <name val="Arial"/>
    </font>
    <font>
      <sz val="10"/>
      <color rgb="FF555555"/>
      <name val="Arial"/>
    </font>
    <font>
      <strike/>
      <sz val="10"/>
      <color rgb="FF555555"/>
      <name val="Arial"/>
    </font>
    <font>
      <b/>
      <sz val="9"/>
      <color rgb="FF555555"/>
      <name val="Arial"/>
    </font>
    <font>
      <sz val="9"/>
      <color rgb="FF555555"/>
      <name val="Arial"/>
    </font>
  </fonts>
  <fills count="39">
    <fill>
      <patternFill patternType="none"/>
    </fill>
    <fill>
      <patternFill patternType="gray125"/>
    </fill>
    <fill>
      <patternFill patternType="solid">
        <fgColor rgb="FF1B2A4A"/>
        <bgColor rgb="FF1A3A5C"/>
      </patternFill>
    </fill>
    <fill>
      <patternFill patternType="solid">
        <fgColor rgb="FFEEF4FC"/>
        <bgColor rgb="FFE8ECF0"/>
      </patternFill>
    </fill>
    <fill>
      <patternFill patternType="solid">
        <fgColor rgb="FF2E5DA6"/>
        <bgColor rgb="FF1F618D"/>
      </patternFill>
    </fill>
    <fill>
      <patternFill patternType="solid">
        <fgColor rgb="FF1A5276"/>
        <bgColor rgb="FF1F618D"/>
      </patternFill>
    </fill>
    <fill>
      <patternFill patternType="solid">
        <fgColor rgb="FFD6EAF8"/>
        <bgColor rgb="FFD6E4F7"/>
      </patternFill>
    </fill>
    <fill>
      <patternFill patternType="solid">
        <fgColor rgb="FFFFFFFF"/>
        <bgColor rgb="FFFEF9E7"/>
      </patternFill>
    </fill>
    <fill>
      <patternFill patternType="solid">
        <fgColor rgb="FF145A32"/>
        <bgColor rgb="FF276221"/>
      </patternFill>
    </fill>
    <fill>
      <patternFill patternType="solid">
        <fgColor rgb="FFD5F5E3"/>
        <bgColor rgb="FFD5F5F1"/>
      </patternFill>
    </fill>
    <fill>
      <patternFill patternType="solid">
        <fgColor rgb="FF6E2FA0"/>
        <bgColor rgb="FF6B2FA0"/>
      </patternFill>
    </fill>
    <fill>
      <patternFill patternType="solid">
        <fgColor rgb="FFF0E6FA"/>
        <bgColor rgb="FFE8ECF0"/>
      </patternFill>
    </fill>
    <fill>
      <patternFill patternType="solid">
        <fgColor rgb="FF7D6608"/>
        <bgColor rgb="FF9C6500"/>
      </patternFill>
    </fill>
    <fill>
      <patternFill patternType="solid">
        <fgColor rgb="FFFEF9E7"/>
        <bgColor rgb="FFFFFFFF"/>
      </patternFill>
    </fill>
    <fill>
      <patternFill patternType="solid">
        <fgColor rgb="FF784212"/>
        <bgColor rgb="FF8B4513"/>
      </patternFill>
    </fill>
    <fill>
      <patternFill patternType="solid">
        <fgColor rgb="FFFDEBD0"/>
        <bgColor rgb="FFFDEDEC"/>
      </patternFill>
    </fill>
    <fill>
      <patternFill patternType="solid">
        <fgColor rgb="FF7B241C"/>
        <bgColor rgb="FF784212"/>
      </patternFill>
    </fill>
    <fill>
      <patternFill patternType="solid">
        <fgColor rgb="FFFDEDEC"/>
        <bgColor rgb="FFFEF9E7"/>
      </patternFill>
    </fill>
    <fill>
      <patternFill patternType="solid">
        <fgColor rgb="FF1F618D"/>
        <bgColor rgb="FF2E5DA6"/>
      </patternFill>
    </fill>
    <fill>
      <patternFill patternType="solid">
        <fgColor rgb="FF2874A6"/>
        <bgColor rgb="FF2E86C1"/>
      </patternFill>
    </fill>
    <fill>
      <patternFill patternType="solid">
        <fgColor rgb="FF2E86C1"/>
        <bgColor rgb="FF3498DB"/>
      </patternFill>
    </fill>
    <fill>
      <patternFill patternType="solid">
        <fgColor rgb="FF3498DB"/>
        <bgColor rgb="FF2E86C1"/>
      </patternFill>
    </fill>
    <fill>
      <patternFill patternType="solid">
        <fgColor rgb="FFD6E4F7"/>
        <bgColor rgb="FFD6EAF8"/>
      </patternFill>
    </fill>
    <fill>
      <patternFill patternType="solid">
        <fgColor rgb="FFC6EFCE"/>
        <bgColor rgb="FFD5F5E3"/>
      </patternFill>
    </fill>
    <fill>
      <patternFill patternType="solid">
        <fgColor rgb="FFFFEB9C"/>
        <bgColor rgb="FFFFDAB9"/>
      </patternFill>
    </fill>
    <fill>
      <patternFill patternType="solid">
        <fgColor rgb="FFFFC7CE"/>
        <bgColor rgb="FFFFDAB9"/>
      </patternFill>
    </fill>
    <fill>
      <patternFill patternType="solid">
        <fgColor rgb="FFFFDAB9"/>
        <bgColor rgb="FFFDEBD0"/>
      </patternFill>
    </fill>
    <fill>
      <patternFill patternType="solid">
        <fgColor rgb="FFE8D5F5"/>
        <bgColor rgb="FFE2E2E2"/>
      </patternFill>
    </fill>
    <fill>
      <patternFill patternType="solid">
        <fgColor rgb="FFE2E2E2"/>
        <bgColor rgb="FFE8ECF0"/>
      </patternFill>
    </fill>
    <fill>
      <patternFill patternType="solid">
        <fgColor rgb="FFD5F5F1"/>
        <bgColor rgb="FFD5F5E3"/>
      </patternFill>
    </fill>
    <fill>
      <patternFill patternType="solid">
        <fgColor rgb="FF1A3A5C"/>
        <bgColor rgb="FF2E4057"/>
      </patternFill>
    </fill>
    <fill>
      <patternFill patternType="solid">
        <fgColor rgb="FFAED6F1"/>
        <bgColor rgb="FFA9DFBF"/>
      </patternFill>
    </fill>
    <fill>
      <patternFill patternType="solid">
        <fgColor rgb="FFA9DFBF"/>
        <bgColor rgb="FFAED6F1"/>
      </patternFill>
    </fill>
    <fill>
      <patternFill patternType="solid">
        <fgColor rgb="FFD7BDE2"/>
        <bgColor rgb="FFCCCCCC"/>
      </patternFill>
    </fill>
    <fill>
      <patternFill patternType="solid">
        <fgColor rgb="FFF0B27A"/>
        <bgColor rgb="FFF1948A"/>
      </patternFill>
    </fill>
    <fill>
      <patternFill patternType="solid">
        <fgColor rgb="FFF1948A"/>
        <bgColor rgb="FFF0B27A"/>
      </patternFill>
    </fill>
    <fill>
      <patternFill patternType="solid">
        <fgColor rgb="FF2E4057"/>
        <bgColor rgb="FF1A3A5C"/>
      </patternFill>
    </fill>
    <fill>
      <patternFill patternType="solid">
        <fgColor rgb="FFB2BEC3"/>
        <bgColor rgb="FFAAAAAA"/>
      </patternFill>
    </fill>
    <fill>
      <patternFill patternType="solid">
        <fgColor rgb="FFE8ECF0"/>
        <bgColor rgb="FFF0E6FA"/>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1A5276"/>
      </left>
      <right/>
      <top style="thin">
        <color rgb="FFCCCCCC"/>
      </top>
      <bottom style="thin">
        <color rgb="FFCCCCCC"/>
      </bottom>
      <diagonal/>
    </border>
    <border>
      <left style="thin">
        <color rgb="FF145A32"/>
      </left>
      <right/>
      <top style="thin">
        <color rgb="FFCCCCCC"/>
      </top>
      <bottom style="thin">
        <color rgb="FFCCCCCC"/>
      </bottom>
      <diagonal/>
    </border>
    <border>
      <left style="thin">
        <color rgb="FF6E2FA0"/>
      </left>
      <right/>
      <top style="thin">
        <color rgb="FFCCCCCC"/>
      </top>
      <bottom style="thin">
        <color rgb="FFCCCCCC"/>
      </bottom>
      <diagonal/>
    </border>
    <border>
      <left style="thin">
        <color rgb="FF7D6608"/>
      </left>
      <right/>
      <top style="thin">
        <color rgb="FFCCCCCC"/>
      </top>
      <bottom style="thin">
        <color rgb="FFCCCCCC"/>
      </bottom>
      <diagonal/>
    </border>
    <border>
      <left style="thin">
        <color rgb="FF784212"/>
      </left>
      <right/>
      <top style="thin">
        <color rgb="FFCCCCCC"/>
      </top>
      <bottom style="thin">
        <color rgb="FFCCCCCC"/>
      </bottom>
      <diagonal/>
    </border>
    <border>
      <left/>
      <right/>
      <top style="thin">
        <color rgb="FFCCCCCC"/>
      </top>
      <bottom style="thin">
        <color rgb="FFCCCCCC"/>
      </bottom>
      <diagonal/>
    </border>
  </borders>
  <cellStyleXfs count="2">
    <xf numFmtId="0" fontId="0" fillId="0" borderId="0"/>
    <xf numFmtId="0" fontId="32" fillId="0" borderId="0" applyNumberFormat="0" applyFill="0" applyBorder="0" applyAlignment="0" applyProtection="0"/>
  </cellStyleXfs>
  <cellXfs count="116">
    <xf numFmtId="0" fontId="0" fillId="0" borderId="0" xfId="0"/>
    <xf numFmtId="0" fontId="13" fillId="3" borderId="2" xfId="0" applyFont="1" applyFill="1" applyBorder="1" applyAlignment="1">
      <alignment horizontal="left" vertical="top" wrapText="1"/>
    </xf>
    <xf numFmtId="0" fontId="3" fillId="4" borderId="1" xfId="0" applyFont="1" applyFill="1" applyBorder="1" applyAlignment="1">
      <alignment horizontal="left" vertical="center" indent="1"/>
    </xf>
    <xf numFmtId="0" fontId="5" fillId="6" borderId="3" xfId="0" applyFont="1" applyFill="1" applyBorder="1" applyAlignment="1">
      <alignment horizontal="center" vertical="top"/>
    </xf>
    <xf numFmtId="0" fontId="6" fillId="6" borderId="1" xfId="0" applyFont="1" applyFill="1" applyBorder="1" applyAlignment="1">
      <alignment horizontal="left" vertical="top" wrapText="1" indent="1"/>
    </xf>
    <xf numFmtId="0" fontId="0" fillId="7" borderId="1" xfId="0" applyFill="1" applyBorder="1" applyAlignment="1">
      <alignment horizontal="left" vertical="top" wrapText="1" indent="1"/>
    </xf>
    <xf numFmtId="0" fontId="5" fillId="7" borderId="3" xfId="0" applyFont="1" applyFill="1" applyBorder="1" applyAlignment="1">
      <alignment horizontal="center" vertical="top"/>
    </xf>
    <xf numFmtId="0" fontId="6" fillId="7" borderId="1" xfId="0" applyFont="1" applyFill="1" applyBorder="1" applyAlignment="1">
      <alignment horizontal="left" vertical="top" wrapText="1" indent="1"/>
    </xf>
    <xf numFmtId="0" fontId="0" fillId="7" borderId="0" xfId="0" applyFill="1"/>
    <xf numFmtId="0" fontId="7" fillId="9" borderId="4" xfId="0" applyFont="1" applyFill="1" applyBorder="1" applyAlignment="1">
      <alignment horizontal="center" vertical="top"/>
    </xf>
    <xf numFmtId="0" fontId="6" fillId="9" borderId="1" xfId="0" applyFont="1" applyFill="1" applyBorder="1" applyAlignment="1">
      <alignment horizontal="left" vertical="top" wrapText="1" indent="1"/>
    </xf>
    <xf numFmtId="0" fontId="7" fillId="7" borderId="4" xfId="0" applyFont="1" applyFill="1" applyBorder="1" applyAlignment="1">
      <alignment horizontal="center" vertical="top"/>
    </xf>
    <xf numFmtId="0" fontId="8" fillId="11" borderId="5" xfId="0" applyFont="1" applyFill="1" applyBorder="1" applyAlignment="1">
      <alignment horizontal="center" vertical="top"/>
    </xf>
    <xf numFmtId="0" fontId="6" fillId="11" borderId="1" xfId="0" applyFont="1" applyFill="1" applyBorder="1" applyAlignment="1">
      <alignment horizontal="left" vertical="top" wrapText="1" indent="1"/>
    </xf>
    <xf numFmtId="0" fontId="8" fillId="7" borderId="5" xfId="0" applyFont="1" applyFill="1" applyBorder="1" applyAlignment="1">
      <alignment horizontal="center" vertical="top"/>
    </xf>
    <xf numFmtId="0" fontId="9" fillId="13" borderId="6" xfId="0" applyFont="1" applyFill="1" applyBorder="1" applyAlignment="1">
      <alignment horizontal="center" vertical="top"/>
    </xf>
    <xf numFmtId="0" fontId="6" fillId="13" borderId="1" xfId="0" applyFont="1" applyFill="1" applyBorder="1" applyAlignment="1">
      <alignment horizontal="left" vertical="top" wrapText="1" indent="1"/>
    </xf>
    <xf numFmtId="0" fontId="9" fillId="7" borderId="6" xfId="0" applyFont="1" applyFill="1" applyBorder="1" applyAlignment="1">
      <alignment horizontal="center" vertical="top"/>
    </xf>
    <xf numFmtId="0" fontId="10" fillId="15" borderId="7" xfId="0" applyFont="1" applyFill="1" applyBorder="1" applyAlignment="1">
      <alignment horizontal="center" vertical="top"/>
    </xf>
    <xf numFmtId="0" fontId="6" fillId="15" borderId="1" xfId="0" applyFont="1" applyFill="1" applyBorder="1" applyAlignment="1">
      <alignment horizontal="left" vertical="top" wrapText="1" indent="1"/>
    </xf>
    <xf numFmtId="0" fontId="10" fillId="7" borderId="7" xfId="0" applyFont="1" applyFill="1" applyBorder="1" applyAlignment="1">
      <alignment horizontal="center" vertical="top"/>
    </xf>
    <xf numFmtId="0" fontId="6" fillId="17" borderId="1" xfId="0" applyFont="1" applyFill="1" applyBorder="1" applyAlignment="1">
      <alignment horizontal="left" vertical="top" wrapText="1" inden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2" fillId="22" borderId="1" xfId="0" applyFont="1" applyFill="1" applyBorder="1" applyAlignment="1">
      <alignment horizontal="left" vertical="center" wrapText="1"/>
    </xf>
    <xf numFmtId="0" fontId="13" fillId="7" borderId="1" xfId="0" applyFont="1" applyFill="1" applyBorder="1" applyAlignment="1">
      <alignment horizontal="center" vertical="center"/>
    </xf>
    <xf numFmtId="0" fontId="13" fillId="3" borderId="1" xfId="0" applyFont="1" applyFill="1" applyBorder="1" applyAlignment="1">
      <alignment horizontal="center" vertical="center"/>
    </xf>
    <xf numFmtId="9" fontId="14" fillId="23" borderId="1" xfId="0" applyNumberFormat="1" applyFont="1" applyFill="1" applyBorder="1" applyAlignment="1">
      <alignment horizontal="center" vertical="center"/>
    </xf>
    <xf numFmtId="0" fontId="13" fillId="3" borderId="1" xfId="0" applyFont="1" applyFill="1" applyBorder="1" applyAlignment="1">
      <alignment horizontal="center" vertical="top" wrapText="1"/>
    </xf>
    <xf numFmtId="0" fontId="13" fillId="3" borderId="1" xfId="0" applyFont="1" applyFill="1" applyBorder="1" applyAlignment="1">
      <alignment horizontal="left" vertical="top" wrapText="1"/>
    </xf>
    <xf numFmtId="0" fontId="13" fillId="7" borderId="1" xfId="0" applyFont="1" applyFill="1" applyBorder="1" applyAlignment="1">
      <alignment horizontal="center" vertical="top" wrapText="1"/>
    </xf>
    <xf numFmtId="0" fontId="13" fillId="7" borderId="1" xfId="0" applyFont="1" applyFill="1" applyBorder="1" applyAlignment="1">
      <alignment horizontal="left" vertical="top" wrapText="1"/>
    </xf>
    <xf numFmtId="0" fontId="0" fillId="2" borderId="0" xfId="0" applyFill="1"/>
    <xf numFmtId="0" fontId="3" fillId="2" borderId="1" xfId="0" applyFont="1" applyFill="1" applyBorder="1" applyAlignment="1">
      <alignment horizontal="center" vertical="center" wrapText="1"/>
    </xf>
    <xf numFmtId="0" fontId="16" fillId="23" borderId="1" xfId="0" applyFont="1" applyFill="1" applyBorder="1" applyAlignment="1">
      <alignment horizontal="center" vertical="center"/>
    </xf>
    <xf numFmtId="0" fontId="18" fillId="24" borderId="1" xfId="0" applyFont="1" applyFill="1" applyBorder="1" applyAlignment="1">
      <alignment horizontal="center" vertical="center"/>
    </xf>
    <xf numFmtId="0" fontId="19" fillId="25" borderId="1" xfId="0" applyFont="1" applyFill="1" applyBorder="1" applyAlignment="1">
      <alignment horizontal="center" vertical="center"/>
    </xf>
    <xf numFmtId="0" fontId="20" fillId="26" borderId="1" xfId="0" applyFont="1" applyFill="1" applyBorder="1" applyAlignment="1">
      <alignment horizontal="center" vertical="center"/>
    </xf>
    <xf numFmtId="0" fontId="21" fillId="27" borderId="1" xfId="0" applyFont="1" applyFill="1" applyBorder="1" applyAlignment="1">
      <alignment horizontal="center" vertical="center"/>
    </xf>
    <xf numFmtId="0" fontId="22" fillId="28" borderId="1" xfId="0" applyFont="1" applyFill="1" applyBorder="1" applyAlignment="1">
      <alignment horizontal="center" vertical="center"/>
    </xf>
    <xf numFmtId="0" fontId="23" fillId="29" borderId="1" xfId="0" applyFont="1" applyFill="1" applyBorder="1" applyAlignment="1">
      <alignment horizontal="center" vertical="center"/>
    </xf>
    <xf numFmtId="0" fontId="24" fillId="3" borderId="1" xfId="0" applyFont="1" applyFill="1" applyBorder="1" applyAlignment="1">
      <alignment horizontal="left" vertical="top" wrapText="1"/>
    </xf>
    <xf numFmtId="0" fontId="24" fillId="7" borderId="1" xfId="0" applyFont="1" applyFill="1" applyBorder="1" applyAlignment="1">
      <alignment horizontal="left" vertical="top" wrapText="1"/>
    </xf>
    <xf numFmtId="0" fontId="25" fillId="25" borderId="1" xfId="0" applyFont="1" applyFill="1" applyBorder="1" applyAlignment="1">
      <alignment horizontal="center" vertical="center"/>
    </xf>
    <xf numFmtId="0" fontId="26" fillId="26" borderId="1" xfId="0" applyFont="1" applyFill="1" applyBorder="1" applyAlignment="1">
      <alignment horizontal="center" vertical="center"/>
    </xf>
    <xf numFmtId="0" fontId="27" fillId="24" borderId="1" xfId="0" applyFont="1" applyFill="1" applyBorder="1" applyAlignment="1">
      <alignment horizontal="center" vertical="center"/>
    </xf>
    <xf numFmtId="0" fontId="28" fillId="23" borderId="1" xfId="0" applyFont="1" applyFill="1" applyBorder="1" applyAlignment="1">
      <alignment horizontal="center" vertical="center"/>
    </xf>
    <xf numFmtId="0" fontId="3" fillId="30" borderId="1" xfId="0" applyFont="1" applyFill="1" applyBorder="1" applyAlignment="1">
      <alignment horizontal="left" vertical="center"/>
    </xf>
    <xf numFmtId="0" fontId="0" fillId="31" borderId="0" xfId="0" applyFill="1"/>
    <xf numFmtId="0" fontId="31" fillId="7" borderId="1" xfId="0" applyFont="1" applyFill="1" applyBorder="1" applyAlignment="1">
      <alignment horizontal="left" vertical="top" wrapText="1" indent="1"/>
    </xf>
    <xf numFmtId="0" fontId="3" fillId="5" borderId="1" xfId="0" applyFont="1" applyFill="1" applyBorder="1" applyAlignment="1">
      <alignment horizontal="left" vertical="center"/>
    </xf>
    <xf numFmtId="0" fontId="0" fillId="5" borderId="0" xfId="0" applyFill="1"/>
    <xf numFmtId="0" fontId="3" fillId="8" borderId="1" xfId="0" applyFont="1" applyFill="1" applyBorder="1" applyAlignment="1">
      <alignment horizontal="left" vertical="center"/>
    </xf>
    <xf numFmtId="0" fontId="0" fillId="32" borderId="0" xfId="0" applyFill="1"/>
    <xf numFmtId="0" fontId="3" fillId="10" borderId="1" xfId="0" applyFont="1" applyFill="1" applyBorder="1" applyAlignment="1">
      <alignment horizontal="left" vertical="center"/>
    </xf>
    <xf numFmtId="0" fontId="0" fillId="33" borderId="0" xfId="0" applyFill="1"/>
    <xf numFmtId="0" fontId="0" fillId="10" borderId="0" xfId="0" applyFill="1"/>
    <xf numFmtId="0" fontId="3" fillId="14" borderId="1" xfId="0" applyFont="1" applyFill="1" applyBorder="1" applyAlignment="1">
      <alignment horizontal="left" vertical="center"/>
    </xf>
    <xf numFmtId="0" fontId="0" fillId="34" borderId="0" xfId="0" applyFill="1"/>
    <xf numFmtId="0" fontId="0" fillId="14" borderId="0" xfId="0" applyFill="1"/>
    <xf numFmtId="0" fontId="3" fillId="16" borderId="1" xfId="0" applyFont="1" applyFill="1" applyBorder="1" applyAlignment="1">
      <alignment horizontal="left" vertical="center"/>
    </xf>
    <xf numFmtId="0" fontId="0" fillId="35" borderId="0" xfId="0" applyFill="1"/>
    <xf numFmtId="0" fontId="0" fillId="16" borderId="0" xfId="0" applyFill="1"/>
    <xf numFmtId="0" fontId="3" fillId="36" borderId="1" xfId="0" applyFont="1" applyFill="1" applyBorder="1" applyAlignment="1">
      <alignment horizontal="left" vertical="center"/>
    </xf>
    <xf numFmtId="0" fontId="0" fillId="37" borderId="0" xfId="0" applyFill="1"/>
    <xf numFmtId="0" fontId="6" fillId="38" borderId="1" xfId="0" applyFont="1" applyFill="1" applyBorder="1" applyAlignment="1">
      <alignment horizontal="left" vertical="top" wrapText="1" indent="1"/>
    </xf>
    <xf numFmtId="0" fontId="32" fillId="7" borderId="1" xfId="1" applyFill="1" applyBorder="1" applyAlignment="1">
      <alignment horizontal="left" vertical="top" wrapText="1" indent="1"/>
    </xf>
    <xf numFmtId="0" fontId="0" fillId="0" borderId="0" xfId="0" applyAlignment="1">
      <alignment wrapText="1"/>
    </xf>
    <xf numFmtId="0" fontId="13" fillId="7" borderId="1" xfId="0" quotePrefix="1" applyFont="1" applyFill="1" applyBorder="1" applyAlignment="1">
      <alignment horizontal="left" vertical="top" wrapText="1"/>
    </xf>
    <xf numFmtId="0" fontId="34" fillId="3" borderId="1" xfId="0" applyFont="1" applyFill="1" applyBorder="1" applyAlignment="1">
      <alignment horizontal="left" vertical="top" wrapText="1"/>
    </xf>
    <xf numFmtId="0" fontId="34" fillId="7" borderId="1" xfId="0" applyFont="1" applyFill="1" applyBorder="1" applyAlignment="1">
      <alignment horizontal="left" vertical="top" wrapText="1"/>
    </xf>
    <xf numFmtId="0" fontId="33" fillId="7" borderId="1" xfId="0" quotePrefix="1" applyFont="1" applyFill="1" applyBorder="1" applyAlignment="1">
      <alignment horizontal="left" vertical="top" wrapText="1"/>
    </xf>
    <xf numFmtId="20" fontId="13" fillId="3" borderId="1" xfId="0" applyNumberFormat="1" applyFont="1" applyFill="1" applyBorder="1" applyAlignment="1">
      <alignment horizontal="center" vertical="top" wrapText="1"/>
    </xf>
    <xf numFmtId="0" fontId="36" fillId="7" borderId="1" xfId="0" applyFont="1" applyFill="1" applyBorder="1" applyAlignment="1">
      <alignment horizontal="left" vertical="top" wrapText="1"/>
    </xf>
    <xf numFmtId="0" fontId="37" fillId="3" borderId="1" xfId="0" applyFont="1" applyFill="1" applyBorder="1" applyAlignment="1">
      <alignment horizontal="left" vertical="top" wrapText="1"/>
    </xf>
    <xf numFmtId="20" fontId="13" fillId="7" borderId="1" xfId="0" applyNumberFormat="1" applyFont="1" applyFill="1" applyBorder="1" applyAlignment="1">
      <alignment horizontal="center" vertical="top" wrapText="1"/>
    </xf>
    <xf numFmtId="0" fontId="1" fillId="2" borderId="0" xfId="0" applyFont="1" applyFill="1" applyAlignment="1">
      <alignment horizontal="left" vertical="center" wrapText="1"/>
    </xf>
    <xf numFmtId="0" fontId="2" fillId="3" borderId="0" xfId="0" applyFont="1" applyFill="1" applyAlignment="1">
      <alignment horizontal="left" vertical="center"/>
    </xf>
    <xf numFmtId="0" fontId="1" fillId="2" borderId="0" xfId="0" applyFont="1" applyFill="1" applyAlignment="1">
      <alignment horizontal="left" vertical="center"/>
    </xf>
    <xf numFmtId="0" fontId="4" fillId="5" borderId="2" xfId="0" applyFont="1" applyFill="1" applyBorder="1" applyAlignment="1">
      <alignment horizontal="left" vertical="center"/>
    </xf>
    <xf numFmtId="0" fontId="4" fillId="8" borderId="2" xfId="0" applyFont="1" applyFill="1" applyBorder="1" applyAlignment="1">
      <alignment horizontal="left" vertical="center"/>
    </xf>
    <xf numFmtId="0" fontId="4" fillId="10" borderId="2" xfId="0" applyFont="1" applyFill="1" applyBorder="1" applyAlignment="1">
      <alignment horizontal="left" vertical="center"/>
    </xf>
    <xf numFmtId="0" fontId="4" fillId="12" borderId="2" xfId="0" applyFont="1" applyFill="1" applyBorder="1" applyAlignment="1">
      <alignment horizontal="left" vertical="center"/>
    </xf>
    <xf numFmtId="0" fontId="4" fillId="14" borderId="2" xfId="0" applyFont="1" applyFill="1" applyBorder="1" applyAlignment="1">
      <alignment horizontal="left" vertical="center"/>
    </xf>
    <xf numFmtId="0" fontId="3" fillId="4" borderId="2" xfId="0" applyFont="1" applyFill="1" applyBorder="1" applyAlignment="1">
      <alignment horizontal="left" vertical="center" wrapText="1"/>
    </xf>
    <xf numFmtId="0" fontId="13" fillId="3" borderId="2" xfId="0" applyFont="1" applyFill="1" applyBorder="1" applyAlignment="1">
      <alignment horizontal="left" vertical="top" wrapText="1"/>
    </xf>
    <xf numFmtId="0" fontId="13" fillId="7" borderId="2" xfId="0" applyFont="1" applyFill="1" applyBorder="1" applyAlignment="1">
      <alignment horizontal="left" vertical="top" wrapText="1"/>
    </xf>
    <xf numFmtId="0" fontId="13" fillId="3" borderId="8" xfId="0" applyFont="1" applyFill="1" applyBorder="1" applyAlignment="1">
      <alignment horizontal="left" vertical="top" wrapText="1"/>
    </xf>
    <xf numFmtId="9" fontId="15" fillId="3" borderId="2" xfId="0" applyNumberFormat="1" applyFont="1" applyFill="1" applyBorder="1" applyAlignment="1">
      <alignment horizontal="left" vertical="top" wrapText="1"/>
    </xf>
    <xf numFmtId="16" fontId="13" fillId="3" borderId="2" xfId="0" applyNumberFormat="1" applyFont="1" applyFill="1" applyBorder="1" applyAlignment="1">
      <alignment horizontal="left" vertical="top" wrapText="1"/>
    </xf>
    <xf numFmtId="0" fontId="3" fillId="4" borderId="1" xfId="0" applyFont="1" applyFill="1" applyBorder="1" applyAlignment="1">
      <alignment horizontal="center" vertical="center" wrapText="1"/>
    </xf>
    <xf numFmtId="0" fontId="32" fillId="3" borderId="2" xfId="1" applyFill="1" applyBorder="1" applyAlignment="1">
      <alignment horizontal="left" vertical="top" wrapText="1"/>
    </xf>
    <xf numFmtId="0" fontId="17" fillId="3" borderId="2"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3" fillId="5" borderId="0" xfId="0" applyFont="1" applyFill="1" applyAlignment="1">
      <alignment horizontal="center" vertical="center"/>
    </xf>
    <xf numFmtId="0" fontId="3" fillId="18" borderId="0" xfId="0" applyFont="1" applyFill="1" applyAlignment="1">
      <alignment horizontal="center" vertical="center"/>
    </xf>
    <xf numFmtId="0" fontId="3" fillId="19" borderId="0" xfId="0" applyFont="1" applyFill="1" applyAlignment="1">
      <alignment horizontal="center" vertical="center"/>
    </xf>
    <xf numFmtId="0" fontId="3" fillId="20" borderId="0" xfId="0" applyFont="1" applyFill="1" applyAlignment="1">
      <alignment horizontal="center" vertical="center"/>
    </xf>
    <xf numFmtId="0" fontId="3" fillId="21" borderId="0" xfId="0" applyFont="1" applyFill="1" applyAlignment="1">
      <alignment horizontal="center" vertical="center"/>
    </xf>
    <xf numFmtId="0" fontId="3" fillId="4" borderId="2" xfId="0" applyFont="1" applyFill="1" applyBorder="1" applyAlignment="1">
      <alignment horizontal="center" vertical="center" wrapText="1"/>
    </xf>
    <xf numFmtId="0" fontId="30" fillId="14" borderId="0" xfId="0" applyFont="1" applyFill="1" applyAlignment="1">
      <alignment horizontal="left" vertical="center"/>
    </xf>
    <xf numFmtId="0" fontId="11" fillId="3" borderId="2" xfId="0" applyFont="1" applyFill="1" applyBorder="1" applyAlignment="1">
      <alignment horizontal="left" vertical="center" wrapText="1"/>
    </xf>
    <xf numFmtId="0" fontId="29" fillId="16" borderId="0" xfId="0" applyFont="1" applyFill="1" applyAlignment="1">
      <alignment horizontal="left" vertical="center"/>
    </xf>
    <xf numFmtId="0" fontId="30" fillId="16" borderId="0" xfId="0" applyFont="1" applyFill="1" applyAlignment="1">
      <alignment horizontal="left" vertical="center"/>
    </xf>
    <xf numFmtId="0" fontId="30" fillId="36" borderId="0" xfId="0" applyFont="1" applyFill="1" applyAlignment="1">
      <alignment horizontal="left" vertical="center"/>
    </xf>
    <xf numFmtId="0" fontId="29" fillId="5" borderId="0" xfId="0" applyFont="1" applyFill="1" applyAlignment="1">
      <alignment horizontal="left" vertical="center"/>
    </xf>
    <xf numFmtId="0" fontId="30" fillId="5" borderId="0" xfId="0" applyFont="1" applyFill="1" applyAlignment="1">
      <alignment horizontal="left" vertical="center"/>
    </xf>
    <xf numFmtId="0" fontId="29" fillId="36" borderId="0" xfId="0" applyFont="1" applyFill="1" applyAlignment="1">
      <alignment horizontal="left" vertical="center"/>
    </xf>
    <xf numFmtId="0" fontId="29" fillId="8" borderId="0" xfId="0" applyFont="1" applyFill="1" applyAlignment="1">
      <alignment horizontal="left" vertical="center"/>
    </xf>
    <xf numFmtId="0" fontId="29" fillId="14" borderId="0" xfId="0" applyFont="1" applyFill="1" applyAlignment="1">
      <alignment horizontal="left" vertical="center"/>
    </xf>
    <xf numFmtId="0" fontId="29" fillId="30" borderId="0" xfId="0" applyFont="1" applyFill="1" applyAlignment="1">
      <alignment horizontal="left" vertical="center"/>
    </xf>
    <xf numFmtId="0" fontId="29" fillId="10" borderId="0" xfId="0" applyFont="1" applyFill="1" applyAlignment="1">
      <alignment horizontal="left" vertical="center"/>
    </xf>
  </cellXfs>
  <cellStyles count="2">
    <cellStyle name="Hyperlink" xfId="1" builtinId="8"/>
    <cellStyle name="Normal" xfId="0" builtinId="0"/>
  </cellStyles>
  <dxfs count="35">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
      <font>
        <sz val="10"/>
        <color rgb="FF1A7A6E"/>
        <name val="Arial"/>
        <charset val="1"/>
      </font>
      <fill>
        <patternFill>
          <bgColor rgb="FFD5F5F1"/>
        </patternFill>
      </fill>
    </dxf>
    <dxf>
      <font>
        <sz val="10"/>
        <color rgb="FF444444"/>
        <name val="Arial"/>
        <charset val="1"/>
      </font>
      <fill>
        <patternFill>
          <bgColor rgb="FFE2E2E2"/>
        </patternFill>
      </fill>
    </dxf>
    <dxf>
      <font>
        <sz val="10"/>
        <color rgb="FF6B2FA0"/>
        <name val="Arial"/>
        <charset val="1"/>
      </font>
      <fill>
        <patternFill>
          <bgColor rgb="FFE8D5F5"/>
        </patternFill>
      </fill>
    </dxf>
    <dxf>
      <font>
        <sz val="10"/>
        <color rgb="FF8B4513"/>
        <name val="Arial"/>
        <charset val="1"/>
      </font>
      <fill>
        <patternFill>
          <bgColor rgb="FFFFDAB9"/>
        </patternFill>
      </fill>
    </dxf>
    <dxf>
      <font>
        <sz val="10"/>
        <color rgb="FF9C0006"/>
        <name val="Arial"/>
        <charset val="1"/>
      </font>
      <fill>
        <patternFill>
          <bgColor rgb="FFFFC7CE"/>
        </patternFill>
      </fill>
    </dxf>
    <dxf>
      <font>
        <sz val="10"/>
        <color rgb="FF9C6500"/>
        <name val="Arial"/>
        <charset val="1"/>
      </font>
      <fill>
        <patternFill>
          <bgColor rgb="FFFFEB9C"/>
        </patternFill>
      </fill>
    </dxf>
    <dxf>
      <font>
        <sz val="10"/>
        <color rgb="FF276221"/>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FDEDEC"/>
      <rgbColor rgb="FF0000FF"/>
      <rgbColor rgb="FFFDEBD0"/>
      <rgbColor rgb="FFFF00FF"/>
      <rgbColor rgb="FFE8ECF0"/>
      <rgbColor rgb="FF9C0006"/>
      <rgbColor rgb="FF276221"/>
      <rgbColor rgb="FF145A32"/>
      <rgbColor rgb="FF7D6608"/>
      <rgbColor rgb="FF784212"/>
      <rgbColor rgb="FF1A7A6E"/>
      <rgbColor rgb="FFB2BEC3"/>
      <rgbColor rgb="FF9C6500"/>
      <rgbColor rgb="FFA9DFBF"/>
      <rgbColor rgb="FF6E2FA0"/>
      <rgbColor rgb="FFFEF9E7"/>
      <rgbColor rgb="FFD5F5F1"/>
      <rgbColor rgb="FF444444"/>
      <rgbColor rgb="FFF1948A"/>
      <rgbColor rgb="FF1155CC"/>
      <rgbColor rgb="FFD7BDE2"/>
      <rgbColor rgb="FF1F618D"/>
      <rgbColor rgb="FFFF00FF"/>
      <rgbColor rgb="FFC6EFCE"/>
      <rgbColor rgb="FFEEF4FC"/>
      <rgbColor rgb="FF800080"/>
      <rgbColor rgb="FF7B241C"/>
      <rgbColor rgb="FF2874A6"/>
      <rgbColor rgb="FF0000FF"/>
      <rgbColor rgb="FFD6E4F7"/>
      <rgbColor rgb="FFD6EAF8"/>
      <rgbColor rgb="FFD5F5E3"/>
      <rgbColor rgb="FFFFEB9C"/>
      <rgbColor rgb="FFAED6F1"/>
      <rgbColor rgb="FFF0B27A"/>
      <rgbColor rgb="FFCCCCCC"/>
      <rgbColor rgb="FFFFDAB9"/>
      <rgbColor rgb="FF2E5DA6"/>
      <rgbColor rgb="FF3498DB"/>
      <rgbColor rgb="FFE2E2E2"/>
      <rgbColor rgb="FFFFC7CE"/>
      <rgbColor rgb="FFE8D5F5"/>
      <rgbColor rgb="FFF0E6FA"/>
      <rgbColor rgb="FF555555"/>
      <rgbColor rgb="FFAAAAAA"/>
      <rgbColor rgb="FF1A3A5C"/>
      <rgbColor rgb="FF2E86C1"/>
      <rgbColor rgb="FF1B2A4A"/>
      <rgbColor rgb="FF1A1A1A"/>
      <rgbColor rgb="FF8B4513"/>
      <rgbColor rgb="FF6B2FA0"/>
      <rgbColor rgb="FF1A5276"/>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anada.ca/fr/immigration-refugies-citoyennete/services/etudier-canada/permis-etudes/preparer/liste-etablissements-enseignement-designe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anada.ca/fr/immigration-refugies-citoyennete/services/etudier-canada/permis-etudes/preparer/liste-etablissements-enseignement-designes.html"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usability.gov/how-to-and-tools/methods/task-development.html" TargetMode="External"/><Relationship Id="rId18" Type="http://schemas.openxmlformats.org/officeDocument/2006/relationships/hyperlink" Target="https://www.nngroup.com/articles/how-many-test-users/" TargetMode="External"/><Relationship Id="rId26" Type="http://schemas.openxmlformats.org/officeDocument/2006/relationships/hyperlink" Target="https://www.nngroup.com/articles/observer-role-in-usability-testing/" TargetMode="External"/><Relationship Id="rId39" Type="http://schemas.openxmlformats.org/officeDocument/2006/relationships/hyperlink" Target="https://dovetail.com/research/building-a-research-repository/" TargetMode="External"/><Relationship Id="rId21" Type="http://schemas.openxmlformats.org/officeDocument/2006/relationships/hyperlink" Target="https://www.nngroup.com/articles/recruiting-usability-study-participants/" TargetMode="External"/><Relationship Id="rId34" Type="http://schemas.openxmlformats.org/officeDocument/2006/relationships/hyperlink" Target="https://dovetail.com/ux-research/ux-research-report/" TargetMode="External"/><Relationship Id="rId42" Type="http://schemas.openxmlformats.org/officeDocument/2006/relationships/hyperlink" Target="https://www.usability.gov/how-to-and-tools/methods/usability-testing.html" TargetMode="External"/><Relationship Id="rId47" Type="http://schemas.openxmlformats.org/officeDocument/2006/relationships/hyperlink" Target="https://researchops.community/" TargetMode="External"/><Relationship Id="rId50" Type="http://schemas.openxmlformats.org/officeDocument/2006/relationships/hyperlink" Target="https://www.w3.org/TR/WCAG22/" TargetMode="External"/><Relationship Id="rId7" Type="http://schemas.openxmlformats.org/officeDocument/2006/relationships/hyperlink" Target="https://www.nngroup.com/articles/research-questions/" TargetMode="External"/><Relationship Id="rId2" Type="http://schemas.openxmlformats.org/officeDocument/2006/relationships/hyperlink" Target="https://www.nngroup.com/articles/research-learning-spirals/" TargetMode="External"/><Relationship Id="rId16" Type="http://schemas.openxmlformats.org/officeDocument/2006/relationships/hyperlink" Target="https://www.interaction-design.org/literature/topics/usability-testing" TargetMode="External"/><Relationship Id="rId29" Type="http://schemas.openxmlformats.org/officeDocument/2006/relationships/hyperlink" Target="https://www.nngroup.com/articles/affinity-diagram/" TargetMode="External"/><Relationship Id="rId11" Type="http://schemas.openxmlformats.org/officeDocument/2006/relationships/hyperlink" Target="https://www.nngroup.com/articles/task-scenarios-usability-testing/" TargetMode="External"/><Relationship Id="rId24" Type="http://schemas.openxmlformats.org/officeDocument/2006/relationships/hyperlink" Target="https://www.nngroup.com/articles/taking-notes-user-research/" TargetMode="External"/><Relationship Id="rId32" Type="http://schemas.openxmlformats.org/officeDocument/2006/relationships/hyperlink" Target="https://www.interaction-design.org/literature/topics/usability-testing" TargetMode="External"/><Relationship Id="rId37" Type="http://schemas.openxmlformats.org/officeDocument/2006/relationships/hyperlink" Target="https://uxdesign.cc/how-to-write-a-ux-research-report-that-people-will-actually-read-12a9e4a94b2f" TargetMode="External"/><Relationship Id="rId40" Type="http://schemas.openxmlformats.org/officeDocument/2006/relationships/hyperlink" Target="https://researchops.community/" TargetMode="External"/><Relationship Id="rId45" Type="http://schemas.openxmlformats.org/officeDocument/2006/relationships/hyperlink" Target="https://dovetail.com/ux-research/usability-testing/" TargetMode="External"/><Relationship Id="rId5" Type="http://schemas.openxmlformats.org/officeDocument/2006/relationships/hyperlink" Target="https://researchops.community/" TargetMode="External"/><Relationship Id="rId15" Type="http://schemas.openxmlformats.org/officeDocument/2006/relationships/hyperlink" Target="https://maze.co/guides/usability-testing/" TargetMode="External"/><Relationship Id="rId23" Type="http://schemas.openxmlformats.org/officeDocument/2006/relationships/hyperlink" Target="https://www.nngroup.com/articles/success-rate-the-simplest-usability-metric/" TargetMode="External"/><Relationship Id="rId28" Type="http://schemas.openxmlformats.org/officeDocument/2006/relationships/hyperlink" Target="https://www.nngroup.com/articles/debrief-usability-tests/" TargetMode="External"/><Relationship Id="rId36" Type="http://schemas.openxmlformats.org/officeDocument/2006/relationships/hyperlink" Target="https://www.nngroup.com/articles/user-testing-highlight-reel/" TargetMode="External"/><Relationship Id="rId49" Type="http://schemas.openxmlformats.org/officeDocument/2006/relationships/hyperlink" Target="https://www.nngroup.com/articles/measuring-perceived-usability/" TargetMode="External"/><Relationship Id="rId10" Type="http://schemas.openxmlformats.org/officeDocument/2006/relationships/hyperlink" Target="https://www.nngroup.com/articles/measuring-perceived-usability/" TargetMode="External"/><Relationship Id="rId19" Type="http://schemas.openxmlformats.org/officeDocument/2006/relationships/hyperlink" Target="https://www.userzoom.com/ux-library/how-to-recruit-participants-for-usability-testing/" TargetMode="External"/><Relationship Id="rId31" Type="http://schemas.openxmlformats.org/officeDocument/2006/relationships/hyperlink" Target="https://www.nngroup.com/articles/how-to-rate-the-severity-of-usability-problems/" TargetMode="External"/><Relationship Id="rId44" Type="http://schemas.openxmlformats.org/officeDocument/2006/relationships/hyperlink" Target="https://maze.co/guides/usability-testing/" TargetMode="External"/><Relationship Id="rId4" Type="http://schemas.openxmlformats.org/officeDocument/2006/relationships/hyperlink" Target="https://maze.co/guides/ux-research/" TargetMode="External"/><Relationship Id="rId9" Type="http://schemas.openxmlformats.org/officeDocument/2006/relationships/hyperlink" Target="https://www.interaction-design.org/literature/topics/usability-testing" TargetMode="External"/><Relationship Id="rId14" Type="http://schemas.openxmlformats.org/officeDocument/2006/relationships/hyperlink" Target="https://www.nngroup.com/articles/pilot-testing/" TargetMode="External"/><Relationship Id="rId22" Type="http://schemas.openxmlformats.org/officeDocument/2006/relationships/hyperlink" Target="https://researchops.community/" TargetMode="External"/><Relationship Id="rId27" Type="http://schemas.openxmlformats.org/officeDocument/2006/relationships/hyperlink" Target="https://maze.co/guides/usability-testing/remote-usability-testing/" TargetMode="External"/><Relationship Id="rId30" Type="http://schemas.openxmlformats.org/officeDocument/2006/relationships/hyperlink" Target="https://www.nngroup.com/articles/success-rate-the-simplest-usability-metric/" TargetMode="External"/><Relationship Id="rId35" Type="http://schemas.openxmlformats.org/officeDocument/2006/relationships/hyperlink" Target="https://www.nngroup.com/articles/communicating-user-research/" TargetMode="External"/><Relationship Id="rId43" Type="http://schemas.openxmlformats.org/officeDocument/2006/relationships/hyperlink" Target="https://www.interaction-design.org/literature/topics/usability-testing" TargetMode="External"/><Relationship Id="rId48" Type="http://schemas.openxmlformats.org/officeDocument/2006/relationships/hyperlink" Target="https://www.usability.gov/how-to-and-tools/methods/system-usability-scale.html" TargetMode="External"/><Relationship Id="rId8" Type="http://schemas.openxmlformats.org/officeDocument/2006/relationships/hyperlink" Target="https://www.usability.gov/how-to-and-tools/methods/usability-testing.html" TargetMode="External"/><Relationship Id="rId51" Type="http://schemas.openxmlformats.org/officeDocument/2006/relationships/hyperlink" Target="https://dovetail.com/customer-research/" TargetMode="External"/><Relationship Id="rId3" Type="http://schemas.openxmlformats.org/officeDocument/2006/relationships/hyperlink" Target="https://uxdesign.cc/how-to-align-stakeholders-on-ux-research-goals-8a6f9e4f7f93" TargetMode="External"/><Relationship Id="rId12" Type="http://schemas.openxmlformats.org/officeDocument/2006/relationships/hyperlink" Target="https://www.nngroup.com/articles/priming/" TargetMode="External"/><Relationship Id="rId17" Type="http://schemas.openxmlformats.org/officeDocument/2006/relationships/hyperlink" Target="https://www.nngroup.com/articles/recruiting-usability-study-participants/" TargetMode="External"/><Relationship Id="rId25" Type="http://schemas.openxmlformats.org/officeDocument/2006/relationships/hyperlink" Target="https://www.usability.gov/how-to-and-tools/methods/system-usability-scale.html" TargetMode="External"/><Relationship Id="rId33" Type="http://schemas.openxmlformats.org/officeDocument/2006/relationships/hyperlink" Target="https://www.nngroup.com/articles/ux-research-collaborators/" TargetMode="External"/><Relationship Id="rId38" Type="http://schemas.openxmlformats.org/officeDocument/2006/relationships/hyperlink" Target="https://www.nngroup.com/articles/ux-research-buy-in/" TargetMode="External"/><Relationship Id="rId46" Type="http://schemas.openxmlformats.org/officeDocument/2006/relationships/hyperlink" Target="https://www.sensible.com/rocket-surgery-made-easy.html" TargetMode="External"/><Relationship Id="rId20" Type="http://schemas.openxmlformats.org/officeDocument/2006/relationships/hyperlink" Target="https://dovetail.com/ux-research/usability-testing/" TargetMode="External"/><Relationship Id="rId41" Type="http://schemas.openxmlformats.org/officeDocument/2006/relationships/hyperlink" Target="https://www.nngroup.com/articles/tag/usability-testing/" TargetMode="External"/><Relationship Id="rId1" Type="http://schemas.openxmlformats.org/officeDocument/2006/relationships/hyperlink" Target="https://www.nngroup.com/articles/ux-research-buy-in/" TargetMode="External"/><Relationship Id="rId6" Type="http://schemas.openxmlformats.org/officeDocument/2006/relationships/hyperlink" Target="https://www.nngroup.com/articles/documenting-ux-re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54"/>
  <sheetViews>
    <sheetView showGridLines="0" zoomScale="120" zoomScaleNormal="100" workbookViewId="0">
      <pane xSplit="2" ySplit="2" topLeftCell="C3" activePane="bottomRight" state="frozen"/>
      <selection pane="bottomRight" activeCell="C12" sqref="C12"/>
      <selection pane="bottomLeft" activeCell="C6" sqref="C6"/>
      <selection pane="topRight" activeCell="C6" sqref="C6"/>
    </sheetView>
  </sheetViews>
  <sheetFormatPr defaultColWidth="8.7109375" defaultRowHeight="15"/>
  <cols>
    <col min="1" max="2" width="3" customWidth="1"/>
    <col min="3" max="3" width="60" customWidth="1"/>
    <col min="4" max="4" width="42" customWidth="1"/>
    <col min="5" max="5" width="3" customWidth="1"/>
  </cols>
  <sheetData>
    <row r="1" spans="2:4" ht="43.5" customHeight="1">
      <c r="B1" s="82" t="s">
        <v>0</v>
      </c>
      <c r="C1" s="82"/>
      <c r="D1" s="82"/>
    </row>
    <row r="2" spans="2:4" ht="27.75" customHeight="1">
      <c r="C2" s="2" t="s">
        <v>1</v>
      </c>
      <c r="D2" s="2" t="s">
        <v>2</v>
      </c>
    </row>
    <row r="3" spans="2:4" ht="27.75" customHeight="1">
      <c r="C3" s="83" t="s">
        <v>3</v>
      </c>
      <c r="D3" s="83"/>
    </row>
    <row r="4" spans="2:4" ht="31.5" customHeight="1">
      <c r="B4" s="3" t="s">
        <v>4</v>
      </c>
      <c r="C4" s="4" t="s">
        <v>5</v>
      </c>
      <c r="D4" s="70" t="s">
        <v>6</v>
      </c>
    </row>
    <row r="5" spans="2:4" ht="31.5" customHeight="1">
      <c r="B5" s="6" t="s">
        <v>4</v>
      </c>
      <c r="C5" s="7" t="s">
        <v>7</v>
      </c>
      <c r="D5" s="5" t="s">
        <v>8</v>
      </c>
    </row>
    <row r="6" spans="2:4" ht="31.5" customHeight="1">
      <c r="B6" s="3" t="s">
        <v>4</v>
      </c>
      <c r="C6" s="4" t="s">
        <v>9</v>
      </c>
      <c r="D6" s="5" t="s">
        <v>10</v>
      </c>
    </row>
    <row r="7" spans="2:4" ht="31.5" customHeight="1">
      <c r="B7" s="6" t="s">
        <v>4</v>
      </c>
      <c r="C7" s="7" t="s">
        <v>11</v>
      </c>
      <c r="D7" s="5"/>
    </row>
    <row r="8" spans="2:4" ht="31.5" customHeight="1">
      <c r="B8" s="3" t="s">
        <v>4</v>
      </c>
      <c r="C8" s="4" t="s">
        <v>12</v>
      </c>
      <c r="D8" s="5"/>
    </row>
    <row r="9" spans="2:4" ht="33.75" customHeight="1">
      <c r="B9" s="6" t="s">
        <v>4</v>
      </c>
      <c r="C9" s="7" t="s">
        <v>13</v>
      </c>
      <c r="D9" s="5"/>
    </row>
    <row r="10" spans="2:4" ht="17.25" customHeight="1">
      <c r="B10" s="8"/>
      <c r="C10" s="8"/>
      <c r="D10" s="8"/>
    </row>
    <row r="11" spans="2:4" ht="27.75" customHeight="1">
      <c r="C11" s="84" t="s">
        <v>14</v>
      </c>
      <c r="D11" s="84"/>
    </row>
    <row r="12" spans="2:4" ht="174" customHeight="1">
      <c r="B12" s="9" t="s">
        <v>4</v>
      </c>
      <c r="C12" s="10" t="s">
        <v>15</v>
      </c>
      <c r="D12" s="5" t="s">
        <v>16</v>
      </c>
    </row>
    <row r="13" spans="2:4" ht="31.5" customHeight="1">
      <c r="B13" s="11" t="s">
        <v>4</v>
      </c>
      <c r="C13" s="7" t="s">
        <v>17</v>
      </c>
      <c r="D13" s="5"/>
    </row>
    <row r="14" spans="2:4" ht="31.5" customHeight="1">
      <c r="B14" s="9" t="s">
        <v>4</v>
      </c>
      <c r="C14" s="10" t="s">
        <v>18</v>
      </c>
      <c r="D14" s="5"/>
    </row>
    <row r="15" spans="2:4" ht="31.5" customHeight="1">
      <c r="B15" s="11" t="s">
        <v>4</v>
      </c>
      <c r="C15" s="7" t="s">
        <v>19</v>
      </c>
      <c r="D15" s="5"/>
    </row>
    <row r="16" spans="2:4" ht="31.5" customHeight="1">
      <c r="B16" s="9" t="s">
        <v>4</v>
      </c>
      <c r="C16" s="10" t="s">
        <v>20</v>
      </c>
      <c r="D16" s="5"/>
    </row>
    <row r="17" spans="2:4" ht="31.5" customHeight="1">
      <c r="B17" s="11" t="s">
        <v>4</v>
      </c>
      <c r="C17" s="7" t="s">
        <v>21</v>
      </c>
      <c r="D17" s="5"/>
    </row>
    <row r="18" spans="2:4" ht="7.5" customHeight="1">
      <c r="B18" s="8"/>
      <c r="C18" s="8"/>
      <c r="D18" s="8"/>
    </row>
    <row r="19" spans="2:4" ht="27.75" customHeight="1">
      <c r="C19" s="85" t="s">
        <v>22</v>
      </c>
      <c r="D19" s="85"/>
    </row>
    <row r="20" spans="2:4" ht="31.5" customHeight="1">
      <c r="B20" s="12" t="s">
        <v>4</v>
      </c>
      <c r="C20" s="13" t="s">
        <v>23</v>
      </c>
      <c r="D20" s="5"/>
    </row>
    <row r="21" spans="2:4" ht="31.5" customHeight="1">
      <c r="B21" s="14" t="s">
        <v>4</v>
      </c>
      <c r="C21" s="7" t="s">
        <v>24</v>
      </c>
      <c r="D21" s="5"/>
    </row>
    <row r="22" spans="2:4" ht="31.5" customHeight="1">
      <c r="B22" s="12" t="s">
        <v>4</v>
      </c>
      <c r="C22" s="13" t="s">
        <v>25</v>
      </c>
      <c r="D22" s="5"/>
    </row>
    <row r="23" spans="2:4" ht="45.75" customHeight="1">
      <c r="B23" s="14" t="s">
        <v>4</v>
      </c>
      <c r="C23" s="7" t="s">
        <v>26</v>
      </c>
      <c r="D23" s="5"/>
    </row>
    <row r="24" spans="2:4" ht="31.5" customHeight="1">
      <c r="B24" s="12" t="s">
        <v>4</v>
      </c>
      <c r="C24" s="13" t="s">
        <v>27</v>
      </c>
      <c r="D24" s="5"/>
    </row>
    <row r="25" spans="2:4" ht="7.5" customHeight="1">
      <c r="B25" s="8"/>
      <c r="C25" s="8"/>
      <c r="D25" s="8"/>
    </row>
    <row r="26" spans="2:4" ht="27.75" customHeight="1">
      <c r="C26" s="86" t="s">
        <v>28</v>
      </c>
      <c r="D26" s="86"/>
    </row>
    <row r="27" spans="2:4" ht="31.5" customHeight="1">
      <c r="B27" s="15" t="s">
        <v>4</v>
      </c>
      <c r="C27" s="16" t="s">
        <v>29</v>
      </c>
      <c r="D27" s="5"/>
    </row>
    <row r="28" spans="2:4" ht="31.5" customHeight="1">
      <c r="B28" s="17" t="s">
        <v>4</v>
      </c>
      <c r="C28" s="7" t="s">
        <v>30</v>
      </c>
      <c r="D28" s="5"/>
    </row>
    <row r="29" spans="2:4" ht="31.5" customHeight="1">
      <c r="B29" s="15" t="s">
        <v>4</v>
      </c>
      <c r="C29" s="16" t="s">
        <v>31</v>
      </c>
      <c r="D29" s="5" t="s">
        <v>32</v>
      </c>
    </row>
    <row r="30" spans="2:4" ht="31.5" customHeight="1">
      <c r="B30" s="17" t="s">
        <v>4</v>
      </c>
      <c r="C30" s="7" t="s">
        <v>33</v>
      </c>
      <c r="D30" s="5" t="s">
        <v>34</v>
      </c>
    </row>
    <row r="31" spans="2:4" ht="31.5" customHeight="1">
      <c r="B31" s="15" t="s">
        <v>4</v>
      </c>
      <c r="C31" s="16" t="s">
        <v>35</v>
      </c>
      <c r="D31" s="5" t="s">
        <v>36</v>
      </c>
    </row>
    <row r="32" spans="2:4" ht="31.5" customHeight="1">
      <c r="B32" s="17" t="s">
        <v>4</v>
      </c>
      <c r="C32" s="7" t="s">
        <v>37</v>
      </c>
      <c r="D32" s="5"/>
    </row>
    <row r="33" spans="2:4" ht="31.5" customHeight="1">
      <c r="B33" s="15" t="s">
        <v>4</v>
      </c>
      <c r="C33" s="16" t="s">
        <v>38</v>
      </c>
      <c r="D33" s="5"/>
    </row>
    <row r="34" spans="2:4" ht="7.5" customHeight="1">
      <c r="B34" s="8"/>
      <c r="C34" s="8"/>
      <c r="D34" s="8"/>
    </row>
    <row r="35" spans="2:4" ht="7.5" customHeight="1">
      <c r="B35" s="8"/>
      <c r="C35" s="8"/>
      <c r="D35" s="8"/>
    </row>
    <row r="36" spans="2:4" ht="27.75" customHeight="1">
      <c r="C36" s="87" t="s">
        <v>39</v>
      </c>
      <c r="D36" s="87"/>
    </row>
    <row r="37" spans="2:4" ht="31.5" customHeight="1">
      <c r="B37" s="18" t="s">
        <v>4</v>
      </c>
      <c r="C37" s="19" t="s">
        <v>40</v>
      </c>
      <c r="D37" s="5"/>
    </row>
    <row r="38" spans="2:4" ht="31.5" customHeight="1">
      <c r="B38" s="20" t="s">
        <v>4</v>
      </c>
      <c r="C38" s="7" t="s">
        <v>41</v>
      </c>
      <c r="D38" s="5"/>
    </row>
    <row r="39" spans="2:4" ht="31.5" customHeight="1">
      <c r="B39" s="18" t="s">
        <v>4</v>
      </c>
      <c r="C39" s="19" t="s">
        <v>42</v>
      </c>
      <c r="D39" s="5"/>
    </row>
    <row r="40" spans="2:4" ht="31.5" customHeight="1">
      <c r="B40" s="20" t="s">
        <v>4</v>
      </c>
      <c r="C40" s="7" t="s">
        <v>43</v>
      </c>
      <c r="D40" s="5"/>
    </row>
    <row r="41" spans="2:4" ht="31.5" customHeight="1">
      <c r="B41" s="18" t="s">
        <v>4</v>
      </c>
      <c r="C41" s="19" t="s">
        <v>44</v>
      </c>
      <c r="D41" s="5"/>
    </row>
    <row r="42" spans="2:4" ht="31.5" customHeight="1">
      <c r="B42" s="20" t="s">
        <v>4</v>
      </c>
      <c r="C42" s="7" t="s">
        <v>45</v>
      </c>
      <c r="D42" s="5"/>
    </row>
    <row r="43" spans="2:4" ht="7.5" customHeight="1">
      <c r="B43" s="8"/>
      <c r="C43" s="8"/>
      <c r="D43" s="8"/>
    </row>
    <row r="44" spans="2:4" ht="27.75" customHeight="1">
      <c r="C44" s="84" t="s">
        <v>46</v>
      </c>
      <c r="D44" s="84"/>
    </row>
    <row r="45" spans="2:4" ht="31.5" customHeight="1">
      <c r="B45" s="9" t="s">
        <v>4</v>
      </c>
      <c r="C45" s="10" t="s">
        <v>47</v>
      </c>
      <c r="D45" s="5"/>
    </row>
    <row r="46" spans="2:4" ht="31.5" customHeight="1">
      <c r="B46" s="11" t="s">
        <v>4</v>
      </c>
      <c r="C46" s="7" t="s">
        <v>48</v>
      </c>
      <c r="D46" s="5" t="s">
        <v>49</v>
      </c>
    </row>
    <row r="47" spans="2:4" ht="31.5" customHeight="1">
      <c r="B47" s="9" t="s">
        <v>4</v>
      </c>
      <c r="C47" s="10" t="s">
        <v>50</v>
      </c>
      <c r="D47" s="5"/>
    </row>
    <row r="48" spans="2:4" ht="44.25" customHeight="1">
      <c r="B48" s="11" t="s">
        <v>4</v>
      </c>
      <c r="C48" s="7" t="s">
        <v>51</v>
      </c>
      <c r="D48" s="5"/>
    </row>
    <row r="49" spans="2:4" ht="7.5" customHeight="1">
      <c r="B49" s="8"/>
      <c r="C49" s="8"/>
      <c r="D49" s="8"/>
    </row>
    <row r="50" spans="2:4" ht="7.5" customHeight="1">
      <c r="B50" s="8"/>
      <c r="C50" s="8"/>
      <c r="D50" s="8"/>
    </row>
    <row r="51" spans="2:4" ht="27.75" customHeight="1">
      <c r="C51" s="83" t="s">
        <v>52</v>
      </c>
      <c r="D51" s="83"/>
    </row>
    <row r="52" spans="2:4" ht="31.5" customHeight="1">
      <c r="B52" s="3" t="s">
        <v>4</v>
      </c>
      <c r="C52" s="4" t="s">
        <v>53</v>
      </c>
      <c r="D52" s="5" t="s">
        <v>54</v>
      </c>
    </row>
    <row r="53" spans="2:4" ht="31.5" customHeight="1">
      <c r="B53" s="6" t="s">
        <v>4</v>
      </c>
      <c r="C53" s="7" t="s">
        <v>55</v>
      </c>
      <c r="D53" s="5" t="s">
        <v>56</v>
      </c>
    </row>
    <row r="54" spans="2:4" ht="7.5" customHeight="1">
      <c r="B54" s="8"/>
      <c r="C54" s="8"/>
      <c r="D54" s="8"/>
    </row>
  </sheetData>
  <mergeCells count="8">
    <mergeCell ref="B1:D1"/>
    <mergeCell ref="C3:D3"/>
    <mergeCell ref="C11:D11"/>
    <mergeCell ref="C51:D51"/>
    <mergeCell ref="C19:D19"/>
    <mergeCell ref="C26:D26"/>
    <mergeCell ref="C36:D36"/>
    <mergeCell ref="C44:D44"/>
  </mergeCells>
  <hyperlinks>
    <hyperlink ref="D4" r:id="rId1" xr:uid="{5582BAA5-00A4-4457-A548-30750A873601}"/>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56"/>
  <sheetViews>
    <sheetView showGridLines="0" zoomScale="120" zoomScaleNormal="120" workbookViewId="0">
      <pane xSplit="2" ySplit="3" topLeftCell="C4" activePane="bottomRight" state="frozen"/>
      <selection pane="bottomRight" activeCell="G13" sqref="G13"/>
      <selection pane="bottomLeft" activeCell="A65" sqref="A65:XFD70"/>
      <selection pane="topRight" activeCell="A65" sqref="A65:XFD70"/>
    </sheetView>
  </sheetViews>
  <sheetFormatPr defaultColWidth="8.7109375" defaultRowHeight="15"/>
  <cols>
    <col min="1" max="1" width="4" customWidth="1"/>
    <col min="2" max="2" width="22" customWidth="1"/>
    <col min="3" max="7" width="16" customWidth="1"/>
  </cols>
  <sheetData>
    <row r="1" spans="2:7" ht="39.75" customHeight="1">
      <c r="B1" s="80" t="s">
        <v>57</v>
      </c>
      <c r="C1" s="80"/>
      <c r="D1" s="80"/>
      <c r="E1" s="80"/>
      <c r="F1" s="80"/>
      <c r="G1" s="80"/>
    </row>
    <row r="2" spans="2:7" ht="24" customHeight="1">
      <c r="B2" s="88" t="s">
        <v>58</v>
      </c>
      <c r="C2" s="88"/>
      <c r="D2" s="88"/>
      <c r="E2" s="88"/>
      <c r="F2" s="88"/>
      <c r="G2" s="88"/>
    </row>
    <row r="3" spans="2:7" ht="30" customHeight="1">
      <c r="B3" s="22" t="s">
        <v>59</v>
      </c>
      <c r="C3" s="23" t="s">
        <v>60</v>
      </c>
      <c r="D3" s="24" t="s">
        <v>61</v>
      </c>
      <c r="E3" s="25" t="s">
        <v>62</v>
      </c>
      <c r="F3" s="26" t="s">
        <v>63</v>
      </c>
      <c r="G3" s="27" t="s">
        <v>64</v>
      </c>
    </row>
    <row r="4" spans="2:7" ht="24" customHeight="1">
      <c r="B4" s="28" t="s">
        <v>65</v>
      </c>
      <c r="C4" s="29">
        <f>COUNTIF(Data!C4:C193,"Success")</f>
        <v>0</v>
      </c>
      <c r="D4" s="29">
        <f>COUNTIF(Data!F4:F18,"Success")</f>
        <v>0</v>
      </c>
      <c r="E4" s="29">
        <f>COUNTIF(Data!I4:I18,"Success")</f>
        <v>0</v>
      </c>
      <c r="F4" s="29">
        <f>COUNTIF(Data!L4:L18,"Success")</f>
        <v>0</v>
      </c>
      <c r="G4" s="29">
        <f>COUNTIF(Data!O4:O18,"Success")</f>
        <v>0</v>
      </c>
    </row>
    <row r="5" spans="2:7" ht="24" customHeight="1">
      <c r="B5" s="28" t="s">
        <v>66</v>
      </c>
      <c r="C5" s="30">
        <f>COUNTIF(Data!C4:C18,"Partial Fail")</f>
        <v>0</v>
      </c>
      <c r="D5" s="30">
        <f>COUNTIF(Data!F4:F18,"Partial Fail")</f>
        <v>0</v>
      </c>
      <c r="E5" s="30">
        <f>COUNTIF(Data!I4:I18,"Partial Fail")</f>
        <v>0</v>
      </c>
      <c r="F5" s="30">
        <f>COUNTIF(Data!L4:L18,"Partial Fail")</f>
        <v>0</v>
      </c>
      <c r="G5" s="30">
        <f>COUNTIF(Data!O4:O18,"Partial Fail")</f>
        <v>0</v>
      </c>
    </row>
    <row r="6" spans="2:7" ht="24" customHeight="1">
      <c r="B6" s="28" t="s">
        <v>67</v>
      </c>
      <c r="C6" s="29">
        <f>COUNTIF(Data!C4:C18,"Fail")</f>
        <v>0</v>
      </c>
      <c r="D6" s="29">
        <f>COUNTIF(Data!F4:F18,"Fail")</f>
        <v>0</v>
      </c>
      <c r="E6" s="29">
        <f>COUNTIF(Data!I4:I18,"Fail")</f>
        <v>0</v>
      </c>
      <c r="F6" s="29">
        <f>COUNTIF(Data!L4:L18,"Fail")</f>
        <v>0</v>
      </c>
      <c r="G6" s="29">
        <f>COUNTIF(Data!O4:O18,"Fail")</f>
        <v>0</v>
      </c>
    </row>
    <row r="7" spans="2:7" ht="24" customHeight="1">
      <c r="B7" s="28" t="s">
        <v>68</v>
      </c>
      <c r="C7" s="30">
        <f>COUNTIF(Data!C4:C18,"Time Limit")</f>
        <v>0</v>
      </c>
      <c r="D7" s="30">
        <f>COUNTIF(Data!F4:F18,"Time Limit")</f>
        <v>0</v>
      </c>
      <c r="E7" s="30">
        <f>COUNTIF(Data!I4:I18,"Time Limit")</f>
        <v>0</v>
      </c>
      <c r="F7" s="30">
        <f>COUNTIF(Data!L4:L18,"Time Limit")</f>
        <v>0</v>
      </c>
      <c r="G7" s="30">
        <f>COUNTIF(Data!O4:O18,"Time Limit")</f>
        <v>0</v>
      </c>
    </row>
    <row r="8" spans="2:7" ht="24" customHeight="1">
      <c r="B8" s="28" t="s">
        <v>69</v>
      </c>
      <c r="C8" s="29">
        <f>COUNTIF(Data!C4:C18,"Give Up")</f>
        <v>0</v>
      </c>
      <c r="D8" s="29">
        <f>COUNTIF(Data!F4:F18,"Give Up")</f>
        <v>0</v>
      </c>
      <c r="E8" s="29">
        <f>COUNTIF(Data!I4:I18,"Give Up")</f>
        <v>0</v>
      </c>
      <c r="F8" s="29">
        <f>COUNTIF(Data!L4:L18,"Give Up")</f>
        <v>0</v>
      </c>
      <c r="G8" s="29">
        <f>COUNTIF(Data!O4:O18,"Give Up")</f>
        <v>0</v>
      </c>
    </row>
    <row r="9" spans="2:7" ht="24" customHeight="1">
      <c r="B9" s="28" t="s">
        <v>70</v>
      </c>
      <c r="C9" s="30">
        <f>COUNTIF(Data!C4:C18,"Technical Issues")</f>
        <v>0</v>
      </c>
      <c r="D9" s="30">
        <f>COUNTIF(Data!F4:F18,"Technical Issues")</f>
        <v>0</v>
      </c>
      <c r="E9" s="30">
        <f>COUNTIF(Data!I4:I18,"Technical Issues")</f>
        <v>0</v>
      </c>
      <c r="F9" s="30">
        <f>COUNTIF(Data!L4:L18,"Technical Issues")</f>
        <v>0</v>
      </c>
      <c r="G9" s="30">
        <f>COUNTIF(Data!O4:O18,"Technical Issues")</f>
        <v>0</v>
      </c>
    </row>
    <row r="10" spans="2:7" ht="24" customHeight="1">
      <c r="B10" s="28" t="s">
        <v>71</v>
      </c>
      <c r="C10" s="29">
        <f>COUNTIF(Data!C4:C18,"Other")</f>
        <v>0</v>
      </c>
      <c r="D10" s="29">
        <f>COUNTIF(Data!F4:F18,"Other")</f>
        <v>0</v>
      </c>
      <c r="E10" s="29">
        <f>COUNTIF(Data!I4:I18,"Other")</f>
        <v>0</v>
      </c>
      <c r="F10" s="29">
        <f>COUNTIF(Data!L4:L18,"Other")</f>
        <v>0</v>
      </c>
      <c r="G10" s="29">
        <f>COUNTIF(Data!O4:O18,"Other")</f>
        <v>0</v>
      </c>
    </row>
    <row r="11" spans="2:7" ht="33.75" customHeight="1">
      <c r="B11" s="28" t="s">
        <v>72</v>
      </c>
      <c r="C11" s="30">
        <f>COUNTA(Data!C4:C18)</f>
        <v>0</v>
      </c>
      <c r="D11" s="30">
        <f>COUNTA(Data!F4:F18)</f>
        <v>0</v>
      </c>
      <c r="E11" s="30">
        <f>COUNTA(Data!I4:I18)</f>
        <v>0</v>
      </c>
      <c r="F11" s="30">
        <f>COUNTA(Data!L4:L18)</f>
        <v>0</v>
      </c>
      <c r="G11" s="30">
        <f>COUNTA(Data!O4:O18)</f>
        <v>0</v>
      </c>
    </row>
    <row r="12" spans="2:7" ht="17.25" customHeight="1">
      <c r="B12" s="28" t="s">
        <v>73</v>
      </c>
      <c r="C12" s="31" t="str">
        <f>IFERROR(COUNTIF(Data!C4:C18,"Success")/COUNTA(Data!C4:C18),"")</f>
        <v/>
      </c>
      <c r="D12" s="31" t="str">
        <f>IFERROR(COUNTIF(Data!F4:F18,"Success")/COUNTA(Data!F4:F18),"")</f>
        <v/>
      </c>
      <c r="E12" s="31" t="str">
        <f>IFERROR(COUNTIF(Data!I4:I18,"Success")/COUNTA(Data!I4:I18),"")</f>
        <v/>
      </c>
      <c r="F12" s="31" t="str">
        <f>IFERROR(COUNTIF(Data!L4:L18,"Success")/COUNTA(Data!L4:L18),"")</f>
        <v/>
      </c>
      <c r="G12" s="31" t="str">
        <f>IFERROR(COUNTIF(Data!O4:O18,"Success")/COUNTA(Data!O4:O18),"")</f>
        <v/>
      </c>
    </row>
    <row r="14" spans="2:7" ht="24" customHeight="1">
      <c r="B14" s="88" t="s">
        <v>74</v>
      </c>
      <c r="C14" s="88"/>
      <c r="D14" s="88"/>
      <c r="E14" s="88"/>
      <c r="F14" s="88"/>
      <c r="G14" s="88"/>
    </row>
    <row r="15" spans="2:7" ht="30" customHeight="1">
      <c r="B15" s="28" t="s">
        <v>75</v>
      </c>
      <c r="C15" s="89"/>
      <c r="D15" s="91"/>
      <c r="E15" s="91"/>
      <c r="F15" s="91"/>
      <c r="G15" s="91"/>
    </row>
    <row r="16" spans="2:7" ht="30" customHeight="1">
      <c r="B16" s="28" t="s">
        <v>76</v>
      </c>
      <c r="C16" s="90"/>
      <c r="D16" s="90"/>
      <c r="E16" s="90"/>
      <c r="F16" s="90"/>
      <c r="G16" s="90"/>
    </row>
    <row r="17" spans="2:7" ht="30" customHeight="1">
      <c r="B17" s="28" t="s">
        <v>77</v>
      </c>
      <c r="C17" s="92" t="str">
        <f>IFERROR(AVERAGE(C13:G13),"")</f>
        <v/>
      </c>
      <c r="D17" s="92"/>
      <c r="E17" s="92"/>
      <c r="F17" s="92"/>
      <c r="G17" s="92"/>
    </row>
    <row r="18" spans="2:7" ht="30" customHeight="1">
      <c r="B18" s="28" t="s">
        <v>78</v>
      </c>
      <c r="C18" s="90"/>
      <c r="D18" s="90"/>
      <c r="E18" s="90"/>
      <c r="F18" s="90"/>
      <c r="G18" s="90"/>
    </row>
    <row r="19" spans="2:7" ht="30" customHeight="1">
      <c r="B19" s="28" t="s">
        <v>79</v>
      </c>
      <c r="C19" s="89"/>
      <c r="D19" s="89"/>
      <c r="E19" s="89"/>
      <c r="F19" s="89"/>
      <c r="G19" s="89"/>
    </row>
    <row r="20" spans="2:7" ht="30" customHeight="1">
      <c r="B20" s="28" t="s">
        <v>80</v>
      </c>
      <c r="C20" s="90"/>
      <c r="D20" s="90"/>
      <c r="E20" s="90"/>
      <c r="F20" s="90"/>
      <c r="G20" s="90"/>
    </row>
    <row r="21" spans="2:7" ht="30" customHeight="1">
      <c r="B21" s="28" t="s">
        <v>81</v>
      </c>
      <c r="C21" s="89"/>
      <c r="D21" s="89"/>
      <c r="E21" s="89"/>
      <c r="F21" s="89"/>
      <c r="G21" s="89"/>
    </row>
    <row r="22" spans="2:7" ht="30" customHeight="1">
      <c r="B22" s="28" t="s">
        <v>82</v>
      </c>
      <c r="C22" s="90"/>
      <c r="D22" s="90"/>
      <c r="E22" s="90"/>
      <c r="F22" s="90"/>
      <c r="G22" s="90"/>
    </row>
    <row r="26" spans="2:7" ht="45.75" customHeight="1"/>
    <row r="35" spans="3:3">
      <c r="C35" t="s">
        <v>33</v>
      </c>
    </row>
    <row r="53" spans="3:3">
      <c r="C53" t="s">
        <v>47</v>
      </c>
    </row>
    <row r="55" spans="3:3">
      <c r="C55" t="s">
        <v>50</v>
      </c>
    </row>
    <row r="56" spans="3:3">
      <c r="C56" t="s">
        <v>51</v>
      </c>
    </row>
  </sheetData>
  <mergeCells count="11">
    <mergeCell ref="B1:G1"/>
    <mergeCell ref="B2:G2"/>
    <mergeCell ref="B14:G14"/>
    <mergeCell ref="C21:G21"/>
    <mergeCell ref="C22:G22"/>
    <mergeCell ref="C15:G15"/>
    <mergeCell ref="C16:G16"/>
    <mergeCell ref="C17:G17"/>
    <mergeCell ref="C18:G18"/>
    <mergeCell ref="C19:G19"/>
    <mergeCell ref="C20:G2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23"/>
  <sheetViews>
    <sheetView showGridLines="0" zoomScaleNormal="100" workbookViewId="0">
      <pane xSplit="1" ySplit="2" topLeftCell="B4" activePane="bottomRight" state="frozen"/>
      <selection pane="bottomRight" activeCell="C14" sqref="C14"/>
      <selection pane="bottomLeft" activeCell="A4" sqref="A4"/>
      <selection pane="topRight" activeCell="B1" sqref="B1"/>
    </sheetView>
  </sheetViews>
  <sheetFormatPr defaultColWidth="8.7109375" defaultRowHeight="15"/>
  <cols>
    <col min="1" max="1" width="4" customWidth="1"/>
    <col min="2" max="2" width="28" customWidth="1"/>
    <col min="3" max="3" width="58.28515625" customWidth="1"/>
    <col min="4" max="4" width="32" customWidth="1"/>
    <col min="5" max="6" width="22" customWidth="1"/>
  </cols>
  <sheetData>
    <row r="1" spans="2:14" ht="39.75" customHeight="1">
      <c r="B1" s="80" t="s">
        <v>83</v>
      </c>
      <c r="C1" s="80"/>
      <c r="D1" s="80"/>
      <c r="E1" s="80"/>
      <c r="F1" s="80"/>
    </row>
    <row r="2" spans="2:14" ht="24" customHeight="1">
      <c r="B2" s="88" t="s">
        <v>84</v>
      </c>
      <c r="C2" s="88"/>
      <c r="D2" s="88"/>
      <c r="E2" s="88"/>
      <c r="F2" s="88"/>
    </row>
    <row r="3" spans="2:14" ht="21.75" customHeight="1">
      <c r="B3" s="28" t="s">
        <v>85</v>
      </c>
      <c r="C3" s="89" t="s">
        <v>86</v>
      </c>
      <c r="D3" s="89"/>
      <c r="E3" s="89"/>
      <c r="F3" s="89"/>
    </row>
    <row r="4" spans="2:14" ht="46.5" customHeight="1">
      <c r="B4" s="28" t="s">
        <v>87</v>
      </c>
      <c r="C4" s="95" t="s">
        <v>88</v>
      </c>
      <c r="D4" s="95"/>
      <c r="E4" s="95"/>
      <c r="F4" s="95"/>
    </row>
    <row r="5" spans="2:14" ht="21.75" customHeight="1">
      <c r="B5" s="28" t="s">
        <v>89</v>
      </c>
      <c r="C5" s="89" t="s">
        <v>90</v>
      </c>
      <c r="D5" s="89"/>
      <c r="E5" s="89"/>
      <c r="F5" s="89"/>
    </row>
    <row r="6" spans="2:14" ht="21.75" customHeight="1">
      <c r="B6" s="28" t="s">
        <v>91</v>
      </c>
      <c r="C6" s="1" t="s">
        <v>92</v>
      </c>
      <c r="D6" s="1" t="s">
        <v>93</v>
      </c>
      <c r="E6" s="1" t="s">
        <v>94</v>
      </c>
      <c r="F6" s="1"/>
    </row>
    <row r="7" spans="2:14" ht="21.75" customHeight="1">
      <c r="B7" s="28" t="s">
        <v>95</v>
      </c>
      <c r="C7" s="93" t="s">
        <v>96</v>
      </c>
      <c r="D7" s="89"/>
      <c r="E7" s="89"/>
      <c r="F7" s="89"/>
    </row>
    <row r="8" spans="2:14" ht="21.75" customHeight="1">
      <c r="B8" s="28" t="s">
        <v>97</v>
      </c>
      <c r="C8" s="89" t="s">
        <v>98</v>
      </c>
      <c r="D8" s="89"/>
      <c r="E8" s="89"/>
      <c r="F8" s="89"/>
    </row>
    <row r="10" spans="2:14" ht="24" customHeight="1">
      <c r="B10" s="88" t="s">
        <v>99</v>
      </c>
      <c r="C10" s="88"/>
      <c r="D10" s="88"/>
      <c r="E10" s="88"/>
      <c r="F10" s="88"/>
    </row>
    <row r="11" spans="2:14" ht="30" customHeight="1">
      <c r="B11" s="22" t="s">
        <v>100</v>
      </c>
      <c r="C11" s="22" t="s">
        <v>101</v>
      </c>
      <c r="D11" s="22" t="s">
        <v>102</v>
      </c>
      <c r="E11" s="22" t="s">
        <v>103</v>
      </c>
      <c r="F11" s="22" t="s">
        <v>104</v>
      </c>
    </row>
    <row r="12" spans="2:14" ht="42" customHeight="1">
      <c r="B12" s="32" t="s">
        <v>105</v>
      </c>
      <c r="C12" s="33" t="s">
        <v>106</v>
      </c>
      <c r="D12" s="33" t="s">
        <v>107</v>
      </c>
      <c r="E12" s="33" t="s">
        <v>108</v>
      </c>
      <c r="F12" s="32" t="s">
        <v>109</v>
      </c>
      <c r="N12" s="71"/>
    </row>
    <row r="13" spans="2:14" ht="93" customHeight="1">
      <c r="B13" s="34" t="s">
        <v>110</v>
      </c>
      <c r="C13" s="35" t="s">
        <v>111</v>
      </c>
      <c r="D13" s="35" t="s">
        <v>112</v>
      </c>
      <c r="E13" s="35" t="s">
        <v>113</v>
      </c>
      <c r="F13" s="34" t="s">
        <v>109</v>
      </c>
    </row>
    <row r="14" spans="2:14" ht="42" customHeight="1">
      <c r="B14" s="32" t="s">
        <v>114</v>
      </c>
      <c r="C14" s="33"/>
      <c r="D14" s="33"/>
      <c r="E14" s="33"/>
      <c r="F14" s="32"/>
    </row>
    <row r="15" spans="2:14" ht="42" customHeight="1">
      <c r="B15" s="34" t="s">
        <v>115</v>
      </c>
      <c r="C15" s="35"/>
      <c r="D15" s="35"/>
      <c r="E15" s="35"/>
      <c r="F15" s="34"/>
    </row>
    <row r="16" spans="2:14" ht="42" customHeight="1">
      <c r="B16" s="32" t="s">
        <v>116</v>
      </c>
      <c r="C16" s="33"/>
      <c r="D16" s="33"/>
      <c r="E16" s="33"/>
      <c r="F16" s="32"/>
    </row>
    <row r="18" spans="2:6" ht="24" customHeight="1">
      <c r="B18" s="88" t="s">
        <v>117</v>
      </c>
      <c r="C18" s="88"/>
      <c r="D18" s="88"/>
      <c r="E18" s="88"/>
      <c r="F18" s="88"/>
    </row>
    <row r="19" spans="2:6" ht="15" customHeight="1">
      <c r="B19" s="22" t="s">
        <v>59</v>
      </c>
      <c r="C19" s="22" t="s">
        <v>118</v>
      </c>
      <c r="D19" s="94" t="s">
        <v>119</v>
      </c>
      <c r="E19" s="94"/>
      <c r="F19" s="94"/>
    </row>
    <row r="20" spans="2:6" ht="30" customHeight="1">
      <c r="B20" s="33" t="s">
        <v>120</v>
      </c>
      <c r="C20" s="33" t="s">
        <v>121</v>
      </c>
      <c r="D20" s="89" t="s">
        <v>122</v>
      </c>
      <c r="E20" s="89"/>
      <c r="F20" s="89"/>
    </row>
    <row r="21" spans="2:6" ht="30" customHeight="1">
      <c r="B21" s="35" t="s">
        <v>123</v>
      </c>
      <c r="C21" s="35" t="s">
        <v>124</v>
      </c>
      <c r="D21" s="90" t="s">
        <v>125</v>
      </c>
      <c r="E21" s="90"/>
      <c r="F21" s="90"/>
    </row>
    <row r="22" spans="2:6" ht="30" customHeight="1">
      <c r="B22" s="33" t="s">
        <v>126</v>
      </c>
      <c r="C22" s="33" t="s">
        <v>127</v>
      </c>
      <c r="D22" s="89" t="s">
        <v>128</v>
      </c>
      <c r="E22" s="89"/>
      <c r="F22" s="89"/>
    </row>
    <row r="23" spans="2:6" ht="30" customHeight="1">
      <c r="B23" s="35" t="s">
        <v>129</v>
      </c>
      <c r="C23" s="35" t="s">
        <v>130</v>
      </c>
      <c r="D23" s="90" t="s">
        <v>131</v>
      </c>
      <c r="E23" s="90"/>
      <c r="F23" s="90"/>
    </row>
  </sheetData>
  <mergeCells count="14">
    <mergeCell ref="B1:F1"/>
    <mergeCell ref="B2:F2"/>
    <mergeCell ref="C3:F3"/>
    <mergeCell ref="C4:F4"/>
    <mergeCell ref="C5:F5"/>
    <mergeCell ref="D20:F20"/>
    <mergeCell ref="D21:F21"/>
    <mergeCell ref="D22:F22"/>
    <mergeCell ref="D23:F23"/>
    <mergeCell ref="C7:F7"/>
    <mergeCell ref="C8:F8"/>
    <mergeCell ref="B10:F10"/>
    <mergeCell ref="B18:F18"/>
    <mergeCell ref="D19:F19"/>
  </mergeCells>
  <hyperlinks>
    <hyperlink ref="C4:F4" r:id="rId1" display="https://www.canada.ca/fr/immigration-refugies-citoyennete/services/etudier-canada/permis-etudes/preparer/liste-etablissements-enseignement-designes.html" xr:uid="{35FEA71E-3812-46D5-9672-BD004EBB50CD}"/>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1"/>
  <sheetViews>
    <sheetView showGridLines="0" tabSelected="1" zoomScaleNormal="100" workbookViewId="0">
      <pane xSplit="1" ySplit="3" topLeftCell="B5" activePane="bottomRight" state="frozen"/>
      <selection pane="bottomRight" activeCell="E7" sqref="E7"/>
      <selection pane="bottomLeft" activeCell="A4" sqref="A4"/>
      <selection pane="topRight" activeCell="B1" sqref="B1"/>
    </sheetView>
  </sheetViews>
  <sheetFormatPr defaultColWidth="8.7109375" defaultRowHeight="15"/>
  <cols>
    <col min="1" max="1" width="4" customWidth="1"/>
    <col min="2" max="2" width="6" customWidth="1"/>
    <col min="3" max="3" width="30" customWidth="1"/>
    <col min="4" max="5" width="38" customWidth="1"/>
    <col min="6" max="6" width="83.140625" customWidth="1"/>
    <col min="7" max="7" width="22" customWidth="1"/>
    <col min="8" max="9" width="16" customWidth="1"/>
    <col min="10" max="10" width="26" customWidth="1"/>
  </cols>
  <sheetData>
    <row r="1" spans="2:10" ht="39.75" customHeight="1">
      <c r="B1" s="80" t="s">
        <v>132</v>
      </c>
      <c r="C1" s="80"/>
      <c r="D1" s="80"/>
      <c r="E1" s="80"/>
      <c r="F1" s="80"/>
      <c r="G1" s="80"/>
      <c r="H1" s="80"/>
      <c r="I1" s="80"/>
      <c r="J1" s="80"/>
    </row>
    <row r="2" spans="2:10" ht="21.75" customHeight="1">
      <c r="B2" s="81" t="s">
        <v>133</v>
      </c>
      <c r="C2" s="81"/>
      <c r="D2" s="81"/>
      <c r="E2" s="81"/>
      <c r="F2" s="81"/>
      <c r="G2" s="81"/>
      <c r="H2" s="81"/>
      <c r="I2" s="81"/>
      <c r="J2" s="81"/>
    </row>
    <row r="3" spans="2:10" ht="33.75" customHeight="1">
      <c r="B3" s="22" t="s">
        <v>134</v>
      </c>
      <c r="C3" s="22" t="s">
        <v>135</v>
      </c>
      <c r="D3" s="22" t="s">
        <v>136</v>
      </c>
      <c r="E3" s="22" t="s">
        <v>137</v>
      </c>
      <c r="F3" s="22" t="s">
        <v>138</v>
      </c>
      <c r="G3" s="22" t="s">
        <v>139</v>
      </c>
      <c r="H3" s="22" t="s">
        <v>140</v>
      </c>
      <c r="I3" s="22" t="s">
        <v>141</v>
      </c>
      <c r="J3" s="22" t="s">
        <v>142</v>
      </c>
    </row>
    <row r="4" spans="2:10" ht="88.5" customHeight="1">
      <c r="B4" s="32" t="s">
        <v>143</v>
      </c>
      <c r="C4" s="33" t="s">
        <v>144</v>
      </c>
      <c r="D4" s="73" t="s">
        <v>145</v>
      </c>
      <c r="E4" s="73" t="s">
        <v>146</v>
      </c>
      <c r="F4" s="78" t="s">
        <v>147</v>
      </c>
      <c r="G4" s="33" t="s">
        <v>148</v>
      </c>
      <c r="H4" s="76">
        <v>2.0833333333333332E-2</v>
      </c>
      <c r="I4" s="32" t="s">
        <v>149</v>
      </c>
      <c r="J4" s="33" t="s">
        <v>150</v>
      </c>
    </row>
    <row r="5" spans="2:10" ht="210" customHeight="1">
      <c r="B5" s="34" t="s">
        <v>151</v>
      </c>
      <c r="C5" s="35" t="s">
        <v>152</v>
      </c>
      <c r="D5" s="74" t="s">
        <v>153</v>
      </c>
      <c r="E5" s="74" t="s">
        <v>154</v>
      </c>
      <c r="F5" s="77" t="s">
        <v>155</v>
      </c>
      <c r="G5" s="35" t="s">
        <v>148</v>
      </c>
      <c r="H5" s="79">
        <v>0.125</v>
      </c>
      <c r="I5" s="34" t="s">
        <v>156</v>
      </c>
      <c r="J5" s="35"/>
    </row>
    <row r="6" spans="2:10" ht="231" customHeight="1">
      <c r="B6" s="34" t="s">
        <v>157</v>
      </c>
      <c r="C6" s="35" t="s">
        <v>158</v>
      </c>
      <c r="D6" s="75" t="s">
        <v>159</v>
      </c>
      <c r="E6" s="72" t="s">
        <v>160</v>
      </c>
      <c r="F6" s="77" t="s">
        <v>161</v>
      </c>
      <c r="G6" s="35" t="s">
        <v>162</v>
      </c>
      <c r="H6" s="79">
        <v>0.125</v>
      </c>
      <c r="I6" s="34" t="s">
        <v>156</v>
      </c>
      <c r="J6" s="35"/>
    </row>
    <row r="7" spans="2:10" ht="158.25" customHeight="1">
      <c r="B7" s="34" t="s">
        <v>163</v>
      </c>
      <c r="C7" s="35" t="s">
        <v>164</v>
      </c>
      <c r="D7" s="35" t="s">
        <v>165</v>
      </c>
      <c r="E7" s="35" t="s">
        <v>166</v>
      </c>
      <c r="F7" s="77" t="s">
        <v>167</v>
      </c>
      <c r="G7" s="35"/>
      <c r="H7" s="34"/>
      <c r="I7" s="34"/>
      <c r="J7" s="35"/>
    </row>
    <row r="8" spans="2:10" ht="151.5" customHeight="1">
      <c r="B8" s="32" t="s">
        <v>168</v>
      </c>
      <c r="C8" s="33" t="s">
        <v>169</v>
      </c>
      <c r="D8" s="33" t="s">
        <v>170</v>
      </c>
      <c r="E8" s="33" t="s">
        <v>171</v>
      </c>
      <c r="F8" s="78" t="s">
        <v>172</v>
      </c>
      <c r="G8" s="33"/>
      <c r="H8" s="32"/>
      <c r="I8" s="32" t="s">
        <v>173</v>
      </c>
      <c r="J8" s="33" t="s">
        <v>174</v>
      </c>
    </row>
    <row r="9" spans="2:10" ht="77.25" customHeight="1">
      <c r="B9" s="35" t="s">
        <v>175</v>
      </c>
      <c r="C9" s="35" t="s">
        <v>176</v>
      </c>
      <c r="D9" s="35" t="s">
        <v>177</v>
      </c>
      <c r="E9" s="35" t="s">
        <v>178</v>
      </c>
      <c r="F9" s="35" t="s">
        <v>179</v>
      </c>
      <c r="G9" s="35"/>
      <c r="H9" s="35"/>
      <c r="I9" s="35"/>
      <c r="J9" s="35"/>
    </row>
    <row r="10" spans="2:10" ht="51.75" customHeight="1">
      <c r="B10" s="33"/>
      <c r="C10" s="33"/>
      <c r="D10" s="33"/>
      <c r="E10" s="33"/>
      <c r="F10" s="33"/>
      <c r="G10" s="33"/>
      <c r="H10" s="33"/>
      <c r="I10" s="33"/>
      <c r="J10" s="33"/>
    </row>
    <row r="11" spans="2:10" ht="51.75" customHeight="1">
      <c r="B11" s="35"/>
      <c r="C11" s="35"/>
      <c r="D11" s="35"/>
      <c r="E11" s="35"/>
      <c r="F11" s="35"/>
      <c r="G11" s="35"/>
      <c r="H11" s="35"/>
      <c r="I11" s="35"/>
      <c r="J11" s="35"/>
    </row>
  </sheetData>
  <mergeCells count="2">
    <mergeCell ref="B1:J1"/>
    <mergeCell ref="B2:J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25"/>
  <sheetViews>
    <sheetView showGridLines="0" zoomScaleNormal="100" workbookViewId="0">
      <pane xSplit="1" ySplit="14" topLeftCell="B15" activePane="bottomRight" state="frozen"/>
      <selection pane="bottomRight" activeCell="C10" sqref="C10:L10"/>
      <selection pane="bottomLeft" activeCell="A16" sqref="A16"/>
      <selection pane="topRight" activeCell="B1" sqref="B1"/>
    </sheetView>
  </sheetViews>
  <sheetFormatPr defaultColWidth="8.7109375" defaultRowHeight="15"/>
  <cols>
    <col min="1" max="1" width="4" customWidth="1"/>
    <col min="2" max="2" width="20.7109375" customWidth="1"/>
    <col min="3" max="3" width="20" customWidth="1"/>
    <col min="4" max="4" width="12" customWidth="1"/>
    <col min="5" max="6" width="18" customWidth="1"/>
    <col min="7" max="8" width="14" customWidth="1"/>
    <col min="9" max="10" width="20" customWidth="1"/>
    <col min="11" max="12" width="26" customWidth="1"/>
  </cols>
  <sheetData>
    <row r="1" spans="2:12" ht="39.75" customHeight="1">
      <c r="B1" s="80" t="s">
        <v>180</v>
      </c>
      <c r="C1" s="80"/>
      <c r="D1" s="80"/>
      <c r="E1" s="80"/>
      <c r="F1" s="80"/>
      <c r="G1" s="80"/>
      <c r="H1" s="80"/>
      <c r="I1" s="80"/>
      <c r="J1" s="80"/>
      <c r="K1" s="80"/>
      <c r="L1" s="80"/>
    </row>
    <row r="2" spans="2:12" ht="24" customHeight="1">
      <c r="B2" s="88" t="s">
        <v>181</v>
      </c>
      <c r="C2" s="88"/>
      <c r="D2" s="88"/>
      <c r="E2" s="88"/>
      <c r="F2" s="88"/>
      <c r="G2" s="88"/>
      <c r="H2" s="88"/>
      <c r="I2" s="88"/>
      <c r="J2" s="88"/>
      <c r="K2" s="88"/>
      <c r="L2" s="88"/>
    </row>
    <row r="3" spans="2:12" ht="24" customHeight="1">
      <c r="B3" s="28" t="s">
        <v>182</v>
      </c>
      <c r="C3" s="89"/>
      <c r="D3" s="89"/>
      <c r="E3" s="89"/>
      <c r="F3" s="89"/>
      <c r="G3" s="89"/>
      <c r="H3" s="89"/>
      <c r="I3" s="89"/>
      <c r="J3" s="89"/>
      <c r="K3" s="89"/>
      <c r="L3" s="89"/>
    </row>
    <row r="4" spans="2:12" ht="24" customHeight="1">
      <c r="B4" s="28" t="s">
        <v>183</v>
      </c>
      <c r="C4" s="90" t="s">
        <v>184</v>
      </c>
      <c r="D4" s="90"/>
      <c r="E4" s="90"/>
      <c r="F4" s="90"/>
      <c r="G4" s="90"/>
      <c r="H4" s="90"/>
      <c r="I4" s="90"/>
      <c r="J4" s="90"/>
      <c r="K4" s="90"/>
      <c r="L4" s="90"/>
    </row>
    <row r="5" spans="2:12" ht="24" customHeight="1">
      <c r="B5" s="28" t="s">
        <v>185</v>
      </c>
      <c r="C5" s="89" t="s">
        <v>186</v>
      </c>
      <c r="D5" s="89"/>
      <c r="E5" s="89"/>
      <c r="F5" s="89"/>
      <c r="G5" s="89"/>
      <c r="H5" s="89"/>
      <c r="I5" s="89"/>
      <c r="J5" s="89"/>
      <c r="K5" s="89"/>
      <c r="L5" s="89"/>
    </row>
    <row r="6" spans="2:12" ht="24" customHeight="1">
      <c r="B6" s="28" t="s">
        <v>187</v>
      </c>
      <c r="C6" s="90" t="s">
        <v>188</v>
      </c>
      <c r="D6" s="90"/>
      <c r="E6" s="90"/>
      <c r="F6" s="90"/>
      <c r="G6" s="90"/>
      <c r="H6" s="90"/>
      <c r="I6" s="90"/>
      <c r="J6" s="90"/>
      <c r="K6" s="90"/>
      <c r="L6" s="90"/>
    </row>
    <row r="7" spans="2:12" ht="24" customHeight="1">
      <c r="B7" s="28" t="s">
        <v>189</v>
      </c>
      <c r="C7" s="89" t="s">
        <v>190</v>
      </c>
      <c r="D7" s="89"/>
      <c r="E7" s="89"/>
      <c r="F7" s="89"/>
      <c r="G7" s="89"/>
      <c r="H7" s="89"/>
      <c r="I7" s="89"/>
      <c r="J7" s="89"/>
      <c r="K7" s="89"/>
      <c r="L7" s="89"/>
    </row>
    <row r="8" spans="2:12" ht="24" customHeight="1">
      <c r="B8" s="28" t="s">
        <v>191</v>
      </c>
      <c r="C8" s="90" t="s">
        <v>192</v>
      </c>
      <c r="D8" s="90"/>
      <c r="E8" s="90"/>
      <c r="F8" s="90"/>
      <c r="G8" s="90"/>
      <c r="H8" s="90"/>
      <c r="I8" s="90"/>
      <c r="J8" s="90"/>
      <c r="K8" s="90"/>
      <c r="L8" s="90"/>
    </row>
    <row r="9" spans="2:12" ht="24" customHeight="1">
      <c r="B9" s="28" t="s">
        <v>193</v>
      </c>
      <c r="C9" s="89" t="s">
        <v>194</v>
      </c>
      <c r="D9" s="89"/>
      <c r="E9" s="89"/>
      <c r="F9" s="89"/>
      <c r="G9" s="89"/>
      <c r="H9" s="89"/>
      <c r="I9" s="89"/>
      <c r="J9" s="89"/>
      <c r="K9" s="89"/>
      <c r="L9" s="89"/>
    </row>
    <row r="10" spans="2:12" ht="24" customHeight="1">
      <c r="B10" s="28" t="s">
        <v>195</v>
      </c>
      <c r="C10" s="90" t="s">
        <v>196</v>
      </c>
      <c r="D10" s="90"/>
      <c r="E10" s="90"/>
      <c r="F10" s="90"/>
      <c r="G10" s="90"/>
      <c r="H10" s="90"/>
      <c r="I10" s="90"/>
      <c r="J10" s="90"/>
      <c r="K10" s="90"/>
      <c r="L10" s="90"/>
    </row>
    <row r="11" spans="2:12" ht="24" customHeight="1">
      <c r="B11" s="28" t="s">
        <v>197</v>
      </c>
      <c r="C11" s="89" t="s">
        <v>198</v>
      </c>
      <c r="D11" s="89"/>
      <c r="E11" s="89"/>
      <c r="F11" s="89"/>
      <c r="G11" s="89"/>
      <c r="H11" s="89"/>
      <c r="I11" s="89"/>
      <c r="J11" s="89"/>
      <c r="K11" s="89"/>
      <c r="L11" s="89"/>
    </row>
    <row r="13" spans="2:12" ht="24" customHeight="1">
      <c r="B13" s="88" t="s">
        <v>199</v>
      </c>
      <c r="C13" s="88"/>
      <c r="D13" s="88"/>
      <c r="E13" s="88"/>
      <c r="F13" s="88"/>
      <c r="G13" s="88"/>
      <c r="H13" s="88"/>
      <c r="I13" s="88"/>
      <c r="J13" s="88"/>
      <c r="K13" s="88"/>
      <c r="L13" s="88"/>
    </row>
    <row r="14" spans="2:12" ht="30" customHeight="1">
      <c r="B14" s="22" t="s">
        <v>200</v>
      </c>
      <c r="C14" s="22" t="s">
        <v>201</v>
      </c>
      <c r="D14" s="22" t="s">
        <v>202</v>
      </c>
      <c r="E14" s="22" t="s">
        <v>203</v>
      </c>
      <c r="F14" s="22" t="s">
        <v>204</v>
      </c>
      <c r="G14" s="22" t="s">
        <v>205</v>
      </c>
      <c r="H14" s="22" t="s">
        <v>189</v>
      </c>
      <c r="I14" s="22" t="s">
        <v>185</v>
      </c>
      <c r="J14" s="22" t="s">
        <v>206</v>
      </c>
      <c r="K14" s="22" t="s">
        <v>207</v>
      </c>
      <c r="L14" s="22" t="s">
        <v>208</v>
      </c>
    </row>
    <row r="15" spans="2:12" ht="21.75" customHeight="1">
      <c r="B15" s="32" t="s">
        <v>209</v>
      </c>
      <c r="C15" s="33"/>
      <c r="D15" s="33"/>
      <c r="E15" s="33"/>
      <c r="F15" s="33"/>
      <c r="G15" s="33"/>
      <c r="H15" s="33"/>
      <c r="I15" s="33"/>
      <c r="J15" s="33"/>
      <c r="K15" s="33"/>
      <c r="L15" s="33"/>
    </row>
    <row r="16" spans="2:12" ht="21.75" customHeight="1">
      <c r="B16" s="34" t="s">
        <v>210</v>
      </c>
      <c r="C16" s="35"/>
      <c r="D16" s="35"/>
      <c r="E16" s="35"/>
      <c r="F16" s="35"/>
      <c r="G16" s="35"/>
      <c r="H16" s="35"/>
      <c r="I16" s="35"/>
      <c r="J16" s="35"/>
      <c r="K16" s="35"/>
      <c r="L16" s="35"/>
    </row>
    <row r="17" spans="2:12" ht="21.75" customHeight="1">
      <c r="B17" s="32" t="s">
        <v>211</v>
      </c>
      <c r="C17" s="33"/>
      <c r="D17" s="33"/>
      <c r="E17" s="33"/>
      <c r="F17" s="33"/>
      <c r="G17" s="33"/>
      <c r="H17" s="33"/>
      <c r="I17" s="33"/>
      <c r="J17" s="33"/>
      <c r="K17" s="33"/>
      <c r="L17" s="33"/>
    </row>
    <row r="18" spans="2:12" ht="21.75" customHeight="1">
      <c r="B18" s="34" t="s">
        <v>212</v>
      </c>
      <c r="C18" s="35"/>
      <c r="D18" s="35"/>
      <c r="E18" s="35"/>
      <c r="F18" s="35"/>
      <c r="G18" s="35"/>
      <c r="H18" s="35"/>
      <c r="I18" s="35"/>
      <c r="J18" s="35"/>
      <c r="K18" s="35"/>
      <c r="L18" s="35"/>
    </row>
    <row r="19" spans="2:12" ht="21.75" customHeight="1">
      <c r="B19" s="32" t="s">
        <v>213</v>
      </c>
      <c r="C19" s="33"/>
      <c r="D19" s="33"/>
      <c r="E19" s="33"/>
      <c r="F19" s="33"/>
      <c r="G19" s="33"/>
      <c r="H19" s="33"/>
      <c r="I19" s="33"/>
      <c r="J19" s="33"/>
      <c r="K19" s="33"/>
      <c r="L19" s="33"/>
    </row>
    <row r="20" spans="2:12" ht="21.75" customHeight="1">
      <c r="B20" s="34" t="s">
        <v>214</v>
      </c>
      <c r="C20" s="35"/>
      <c r="D20" s="35"/>
      <c r="E20" s="35"/>
      <c r="F20" s="35"/>
      <c r="G20" s="35"/>
      <c r="H20" s="35"/>
      <c r="I20" s="35"/>
      <c r="J20" s="35"/>
      <c r="K20" s="35"/>
      <c r="L20" s="35"/>
    </row>
    <row r="21" spans="2:12" ht="21.75" customHeight="1">
      <c r="B21" s="32" t="s">
        <v>215</v>
      </c>
      <c r="C21" s="33"/>
      <c r="D21" s="33"/>
      <c r="E21" s="33"/>
      <c r="F21" s="33"/>
      <c r="G21" s="33"/>
      <c r="H21" s="33"/>
      <c r="I21" s="33"/>
      <c r="J21" s="33"/>
      <c r="K21" s="33"/>
      <c r="L21" s="33"/>
    </row>
    <row r="22" spans="2:12" ht="21.75" customHeight="1">
      <c r="B22" s="34" t="s">
        <v>216</v>
      </c>
      <c r="C22" s="35"/>
      <c r="D22" s="35"/>
      <c r="E22" s="35"/>
      <c r="F22" s="35"/>
      <c r="G22" s="35"/>
      <c r="H22" s="35"/>
      <c r="I22" s="35"/>
      <c r="J22" s="35"/>
      <c r="K22" s="35"/>
      <c r="L22" s="35"/>
    </row>
    <row r="23" spans="2:12" ht="21.75" customHeight="1">
      <c r="B23" s="32" t="s">
        <v>217</v>
      </c>
      <c r="C23" s="33"/>
      <c r="D23" s="33"/>
      <c r="E23" s="33"/>
      <c r="F23" s="33"/>
      <c r="G23" s="33"/>
      <c r="H23" s="33"/>
      <c r="I23" s="33"/>
      <c r="J23" s="33"/>
      <c r="K23" s="33"/>
      <c r="L23" s="33"/>
    </row>
    <row r="24" spans="2:12" ht="21.75" customHeight="1">
      <c r="B24" s="34" t="s">
        <v>218</v>
      </c>
      <c r="C24" s="35"/>
      <c r="D24" s="35"/>
      <c r="E24" s="35"/>
      <c r="F24" s="35"/>
      <c r="G24" s="35"/>
      <c r="H24" s="35"/>
      <c r="I24" s="35"/>
      <c r="J24" s="35"/>
      <c r="K24" s="35"/>
      <c r="L24" s="35"/>
    </row>
    <row r="25" spans="2:12" ht="21.75" customHeight="1">
      <c r="B25" s="32" t="s">
        <v>219</v>
      </c>
      <c r="C25" s="33"/>
      <c r="D25" s="33"/>
      <c r="E25" s="33"/>
      <c r="F25" s="33"/>
      <c r="G25" s="33"/>
      <c r="H25" s="33"/>
      <c r="I25" s="33"/>
      <c r="J25" s="33"/>
      <c r="K25" s="33"/>
      <c r="L25" s="33"/>
    </row>
  </sheetData>
  <mergeCells count="12">
    <mergeCell ref="B1:L1"/>
    <mergeCell ref="B2:L2"/>
    <mergeCell ref="C3:L3"/>
    <mergeCell ref="C4:L4"/>
    <mergeCell ref="C10:L10"/>
    <mergeCell ref="C11:L11"/>
    <mergeCell ref="B13:L13"/>
    <mergeCell ref="C5:L5"/>
    <mergeCell ref="C6:L6"/>
    <mergeCell ref="C7:L7"/>
    <mergeCell ref="C8:L8"/>
    <mergeCell ref="C9:L9"/>
  </mergeCells>
  <dataValidations count="4">
    <dataValidation type="list" allowBlank="1" sqref="E15:E25" xr:uid="{00000000-0002-0000-0400-000000000000}">
      <formula1>"Canada,United States,United Kingdom,Australia,Germany,France,Other"</formula1>
      <formula2>0</formula2>
    </dataValidation>
    <dataValidation type="list" allowBlank="1" sqref="F15:F25" xr:uid="{00000000-0002-0000-0400-000001000000}">
      <formula1>"Desktop,Laptop,Tablet,Smartphone (iOS),Smartphone (Android),Other"</formula1>
      <formula2>0</formula2>
    </dataValidation>
    <dataValidation type="list" allowBlank="1" sqref="G15:G25" xr:uid="{00000000-0002-0000-0400-000002000000}">
      <formula1>"Windows,macOS,iOS,Android,Linux,Other"</formula1>
      <formula2>0</formula2>
    </dataValidation>
    <dataValidation type="list" allowBlank="1" sqref="I15:I25" xr:uid="{00000000-0002-0000-0400-000003000000}">
      <formula1>"Low,Medium,High"</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4"/>
  <sheetViews>
    <sheetView showGridLines="0" zoomScaleNormal="100" workbookViewId="0">
      <pane xSplit="1" ySplit="3" topLeftCell="B4" activePane="bottomRight" state="frozen"/>
      <selection pane="bottomRight" activeCell="G5" sqref="G5"/>
      <selection pane="bottomLeft" activeCell="A5" sqref="A5"/>
      <selection pane="topRight" activeCell="C1" sqref="C1"/>
    </sheetView>
  </sheetViews>
  <sheetFormatPr defaultColWidth="8.7109375" defaultRowHeight="15"/>
  <cols>
    <col min="1" max="1" width="8" customWidth="1"/>
    <col min="2" max="2" width="12" customWidth="1"/>
    <col min="3" max="3" width="16" customWidth="1"/>
    <col min="4" max="4" width="30" customWidth="1"/>
    <col min="5" max="5" width="12" customWidth="1"/>
    <col min="6" max="6" width="16" customWidth="1"/>
    <col min="7" max="7" width="30" customWidth="1"/>
    <col min="8" max="8" width="12" customWidth="1"/>
    <col min="9" max="9" width="16" customWidth="1"/>
    <col min="10" max="10" width="30" customWidth="1"/>
    <col min="11" max="11" width="12" customWidth="1"/>
    <col min="12" max="12" width="16" customWidth="1"/>
    <col min="13" max="13" width="30" customWidth="1"/>
    <col min="14" max="14" width="12" customWidth="1"/>
    <col min="15" max="15" width="16" customWidth="1"/>
    <col min="16" max="16" width="30" customWidth="1"/>
  </cols>
  <sheetData>
    <row r="1" spans="1:16" ht="39.75" customHeight="1">
      <c r="A1" s="80" t="s">
        <v>220</v>
      </c>
      <c r="B1" s="80"/>
      <c r="C1" s="80"/>
      <c r="D1" s="80"/>
      <c r="E1" s="80"/>
      <c r="F1" s="80"/>
      <c r="G1" s="80"/>
      <c r="H1" s="80"/>
      <c r="I1" s="80"/>
      <c r="J1" s="80"/>
      <c r="K1" s="80"/>
      <c r="L1" s="80"/>
      <c r="M1" s="80"/>
      <c r="N1" s="80"/>
      <c r="O1" s="80"/>
      <c r="P1" s="80"/>
    </row>
    <row r="2" spans="1:16" ht="25.5" customHeight="1">
      <c r="A2" s="36"/>
      <c r="B2" s="98" t="s">
        <v>221</v>
      </c>
      <c r="C2" s="98"/>
      <c r="D2" s="98"/>
      <c r="E2" s="99" t="s">
        <v>222</v>
      </c>
      <c r="F2" s="99"/>
      <c r="G2" s="99"/>
      <c r="H2" s="100" t="s">
        <v>223</v>
      </c>
      <c r="I2" s="100"/>
      <c r="J2" s="100"/>
      <c r="K2" s="101" t="s">
        <v>224</v>
      </c>
      <c r="L2" s="101"/>
      <c r="M2" s="101"/>
      <c r="N2" s="102" t="s">
        <v>225</v>
      </c>
      <c r="O2" s="102"/>
      <c r="P2" s="102"/>
    </row>
    <row r="3" spans="1:16" ht="30" customHeight="1">
      <c r="A3" s="37" t="s">
        <v>200</v>
      </c>
      <c r="B3" s="23" t="s">
        <v>226</v>
      </c>
      <c r="C3" s="23" t="s">
        <v>227</v>
      </c>
      <c r="D3" s="23" t="s">
        <v>228</v>
      </c>
      <c r="E3" s="24" t="s">
        <v>226</v>
      </c>
      <c r="F3" s="24" t="s">
        <v>227</v>
      </c>
      <c r="G3" s="24" t="s">
        <v>228</v>
      </c>
      <c r="H3" s="25" t="s">
        <v>226</v>
      </c>
      <c r="I3" s="25" t="s">
        <v>227</v>
      </c>
      <c r="J3" s="25" t="s">
        <v>228</v>
      </c>
      <c r="K3" s="26" t="s">
        <v>226</v>
      </c>
      <c r="L3" s="26" t="s">
        <v>227</v>
      </c>
      <c r="M3" s="26" t="s">
        <v>228</v>
      </c>
      <c r="N3" s="27" t="s">
        <v>226</v>
      </c>
      <c r="O3" s="27" t="s">
        <v>227</v>
      </c>
      <c r="P3" s="27" t="s">
        <v>228</v>
      </c>
    </row>
    <row r="4" spans="1:16" ht="51.75" customHeight="1">
      <c r="A4" s="32" t="s">
        <v>209</v>
      </c>
      <c r="B4" s="32"/>
      <c r="C4" s="32"/>
      <c r="D4" s="33" t="s">
        <v>229</v>
      </c>
      <c r="E4" s="32"/>
      <c r="F4" s="32"/>
      <c r="G4" s="33" t="s">
        <v>230</v>
      </c>
      <c r="H4" s="32"/>
      <c r="I4" s="32"/>
      <c r="J4" s="33"/>
      <c r="K4" s="32"/>
      <c r="L4" s="32"/>
      <c r="M4" s="33"/>
      <c r="N4" s="32"/>
      <c r="O4" s="32"/>
      <c r="P4" s="33"/>
    </row>
    <row r="5" spans="1:16" ht="51.75" customHeight="1">
      <c r="A5" s="34" t="s">
        <v>210</v>
      </c>
      <c r="B5" s="34"/>
      <c r="C5" s="34"/>
      <c r="D5" s="35"/>
      <c r="E5" s="34"/>
      <c r="F5" s="34"/>
      <c r="G5" s="35"/>
      <c r="H5" s="34"/>
      <c r="I5" s="34"/>
      <c r="J5" s="35"/>
      <c r="K5" s="34"/>
      <c r="L5" s="34"/>
      <c r="M5" s="35"/>
      <c r="N5" s="34"/>
      <c r="O5" s="34"/>
      <c r="P5" s="35"/>
    </row>
    <row r="6" spans="1:16" ht="51.75" customHeight="1">
      <c r="A6" s="32" t="s">
        <v>211</v>
      </c>
      <c r="B6" s="32"/>
      <c r="C6" s="32"/>
      <c r="D6" s="33"/>
      <c r="E6" s="32"/>
      <c r="F6" s="32"/>
      <c r="G6" s="33"/>
      <c r="H6" s="32"/>
      <c r="I6" s="32"/>
      <c r="J6" s="33"/>
      <c r="K6" s="32"/>
      <c r="L6" s="32"/>
      <c r="M6" s="33"/>
      <c r="N6" s="32"/>
      <c r="O6" s="32"/>
      <c r="P6" s="33"/>
    </row>
    <row r="7" spans="1:16" ht="51.75" customHeight="1">
      <c r="A7" s="34" t="s">
        <v>212</v>
      </c>
      <c r="B7" s="34"/>
      <c r="C7" s="34"/>
      <c r="D7" s="35"/>
      <c r="E7" s="34"/>
      <c r="F7" s="34"/>
      <c r="G7" s="35"/>
      <c r="H7" s="34"/>
      <c r="I7" s="34"/>
      <c r="J7" s="35"/>
      <c r="K7" s="34"/>
      <c r="L7" s="34"/>
      <c r="M7" s="35"/>
      <c r="N7" s="34"/>
      <c r="O7" s="34"/>
      <c r="P7" s="35"/>
    </row>
    <row r="8" spans="1:16" ht="51.75" customHeight="1">
      <c r="A8" s="32" t="s">
        <v>213</v>
      </c>
      <c r="B8" s="32"/>
      <c r="C8" s="32"/>
      <c r="D8" s="33"/>
      <c r="E8" s="32"/>
      <c r="F8" s="32"/>
      <c r="G8" s="33"/>
      <c r="H8" s="32"/>
      <c r="I8" s="32"/>
      <c r="J8" s="33"/>
      <c r="K8" s="32"/>
      <c r="L8" s="32"/>
      <c r="M8" s="33"/>
      <c r="N8" s="32"/>
      <c r="O8" s="32"/>
      <c r="P8" s="33"/>
    </row>
    <row r="9" spans="1:16" ht="51.75" customHeight="1">
      <c r="A9" s="34" t="s">
        <v>214</v>
      </c>
      <c r="B9" s="34"/>
      <c r="C9" s="34"/>
      <c r="D9" s="35"/>
      <c r="E9" s="34"/>
      <c r="F9" s="34"/>
      <c r="G9" s="35"/>
      <c r="H9" s="34"/>
      <c r="I9" s="34"/>
      <c r="J9" s="35"/>
      <c r="K9" s="34"/>
      <c r="L9" s="34"/>
      <c r="M9" s="35"/>
      <c r="N9" s="34"/>
      <c r="O9" s="34"/>
      <c r="P9" s="35"/>
    </row>
    <row r="10" spans="1:16" ht="51.75" customHeight="1">
      <c r="A10" s="32" t="s">
        <v>215</v>
      </c>
      <c r="B10" s="32"/>
      <c r="C10" s="32"/>
      <c r="D10" s="33"/>
      <c r="E10" s="32"/>
      <c r="F10" s="32"/>
      <c r="G10" s="33"/>
      <c r="H10" s="32"/>
      <c r="I10" s="32"/>
      <c r="J10" s="33"/>
      <c r="K10" s="32"/>
      <c r="L10" s="32"/>
      <c r="M10" s="33"/>
      <c r="N10" s="32"/>
      <c r="O10" s="32"/>
      <c r="P10" s="33"/>
    </row>
    <row r="11" spans="1:16" ht="51.75" customHeight="1">
      <c r="A11" s="34" t="s">
        <v>216</v>
      </c>
      <c r="B11" s="34"/>
      <c r="C11" s="34"/>
      <c r="D11" s="35"/>
      <c r="E11" s="34"/>
      <c r="F11" s="34"/>
      <c r="G11" s="35"/>
      <c r="H11" s="34"/>
      <c r="I11" s="34"/>
      <c r="J11" s="35"/>
      <c r="K11" s="34"/>
      <c r="L11" s="34"/>
      <c r="M11" s="35"/>
      <c r="N11" s="34"/>
      <c r="O11" s="34"/>
      <c r="P11" s="35"/>
    </row>
    <row r="12" spans="1:16" ht="51.75" customHeight="1">
      <c r="A12" s="32" t="s">
        <v>217</v>
      </c>
      <c r="B12" s="32"/>
      <c r="C12" s="32"/>
      <c r="D12" s="33"/>
      <c r="E12" s="32"/>
      <c r="F12" s="32"/>
      <c r="G12" s="33"/>
      <c r="H12" s="32"/>
      <c r="I12" s="32"/>
      <c r="J12" s="33"/>
      <c r="K12" s="32"/>
      <c r="L12" s="32"/>
      <c r="M12" s="33"/>
      <c r="N12" s="32"/>
      <c r="O12" s="32"/>
      <c r="P12" s="33"/>
    </row>
    <row r="13" spans="1:16" ht="51.75" customHeight="1">
      <c r="A13" s="34" t="s">
        <v>218</v>
      </c>
      <c r="B13" s="34"/>
      <c r="C13" s="34"/>
      <c r="D13" s="35"/>
      <c r="E13" s="34"/>
      <c r="F13" s="34"/>
      <c r="G13" s="35"/>
      <c r="H13" s="34"/>
      <c r="I13" s="34"/>
      <c r="J13" s="35"/>
      <c r="K13" s="34"/>
      <c r="L13" s="34"/>
      <c r="M13" s="35"/>
      <c r="N13" s="34"/>
      <c r="O13" s="34"/>
      <c r="P13" s="35"/>
    </row>
    <row r="14" spans="1:16" ht="51.75" customHeight="1">
      <c r="A14" s="32" t="s">
        <v>219</v>
      </c>
      <c r="B14" s="32"/>
      <c r="C14" s="32"/>
      <c r="D14" s="33"/>
      <c r="E14" s="32"/>
      <c r="F14" s="32"/>
      <c r="G14" s="33"/>
      <c r="H14" s="32"/>
      <c r="I14" s="32"/>
      <c r="J14" s="33"/>
      <c r="K14" s="32"/>
      <c r="L14" s="32"/>
      <c r="M14" s="33"/>
      <c r="N14" s="32"/>
      <c r="O14" s="32"/>
      <c r="P14" s="33"/>
    </row>
    <row r="15" spans="1:16" ht="51.75" customHeight="1">
      <c r="A15" s="34" t="s">
        <v>231</v>
      </c>
      <c r="B15" s="34"/>
      <c r="C15" s="34"/>
      <c r="D15" s="35"/>
      <c r="E15" s="34"/>
      <c r="F15" s="34"/>
      <c r="G15" s="35"/>
      <c r="H15" s="34"/>
      <c r="I15" s="34"/>
      <c r="J15" s="35"/>
      <c r="K15" s="34"/>
      <c r="L15" s="34"/>
      <c r="M15" s="35"/>
      <c r="N15" s="34"/>
      <c r="O15" s="34"/>
      <c r="P15" s="35"/>
    </row>
    <row r="16" spans="1:16" ht="51.75" customHeight="1">
      <c r="A16" s="32" t="s">
        <v>232</v>
      </c>
      <c r="B16" s="32"/>
      <c r="C16" s="32"/>
      <c r="D16" s="33"/>
      <c r="E16" s="32"/>
      <c r="F16" s="32"/>
      <c r="G16" s="33"/>
      <c r="H16" s="32"/>
      <c r="I16" s="32"/>
      <c r="J16" s="33"/>
      <c r="K16" s="32"/>
      <c r="L16" s="32"/>
      <c r="M16" s="33"/>
      <c r="N16" s="32"/>
      <c r="O16" s="32"/>
      <c r="P16" s="33"/>
    </row>
    <row r="17" spans="1:16" ht="51.75" customHeight="1">
      <c r="A17" s="34" t="s">
        <v>233</v>
      </c>
      <c r="B17" s="34"/>
      <c r="C17" s="34"/>
      <c r="D17" s="35"/>
      <c r="E17" s="34"/>
      <c r="F17" s="34"/>
      <c r="G17" s="35"/>
      <c r="H17" s="34"/>
      <c r="I17" s="34"/>
      <c r="J17" s="35"/>
      <c r="K17" s="34"/>
      <c r="L17" s="34"/>
      <c r="M17" s="35"/>
      <c r="N17" s="34"/>
      <c r="O17" s="34"/>
      <c r="P17" s="35"/>
    </row>
    <row r="18" spans="1:16" ht="51.75" customHeight="1">
      <c r="A18" s="32" t="s">
        <v>234</v>
      </c>
      <c r="B18" s="32"/>
      <c r="C18" s="32"/>
      <c r="D18" s="33"/>
      <c r="E18" s="32"/>
      <c r="F18" s="32"/>
      <c r="G18" s="33"/>
      <c r="H18" s="32"/>
      <c r="I18" s="32"/>
      <c r="J18" s="33"/>
      <c r="K18" s="32"/>
      <c r="L18" s="32"/>
      <c r="M18" s="33"/>
      <c r="N18" s="32"/>
      <c r="O18" s="32"/>
      <c r="P18" s="33"/>
    </row>
    <row r="20" spans="1:16" ht="24" customHeight="1">
      <c r="A20" s="88" t="s">
        <v>235</v>
      </c>
      <c r="B20" s="88"/>
      <c r="C20" s="88"/>
      <c r="D20" s="88"/>
      <c r="E20" s="88"/>
      <c r="F20" s="88"/>
      <c r="G20" s="88"/>
      <c r="H20" s="88"/>
      <c r="I20" s="88"/>
      <c r="J20" s="88"/>
      <c r="K20" s="88"/>
      <c r="L20" s="88"/>
      <c r="M20" s="88"/>
      <c r="N20" s="88"/>
      <c r="O20" s="88"/>
      <c r="P20" s="88"/>
    </row>
    <row r="21" spans="1:16" ht="48" customHeight="1">
      <c r="A21" s="38" t="s">
        <v>65</v>
      </c>
      <c r="B21" s="96" t="s">
        <v>236</v>
      </c>
      <c r="C21" s="96"/>
      <c r="E21" s="39" t="s">
        <v>66</v>
      </c>
      <c r="F21" s="96" t="s">
        <v>237</v>
      </c>
      <c r="G21" s="96"/>
    </row>
    <row r="22" spans="1:16" ht="63.75" customHeight="1">
      <c r="A22" s="40" t="s">
        <v>67</v>
      </c>
      <c r="B22" s="97" t="s">
        <v>238</v>
      </c>
      <c r="C22" s="97"/>
      <c r="E22" s="41" t="s">
        <v>68</v>
      </c>
      <c r="F22" s="97" t="s">
        <v>239</v>
      </c>
      <c r="G22" s="97"/>
    </row>
    <row r="23" spans="1:16" ht="35.25" customHeight="1">
      <c r="A23" s="42" t="s">
        <v>69</v>
      </c>
      <c r="B23" s="96" t="s">
        <v>240</v>
      </c>
      <c r="C23" s="96"/>
      <c r="E23" s="43" t="s">
        <v>70</v>
      </c>
      <c r="F23" s="96" t="s">
        <v>241</v>
      </c>
      <c r="G23" s="96"/>
    </row>
    <row r="24" spans="1:16" ht="40.5" customHeight="1">
      <c r="A24" s="44" t="s">
        <v>71</v>
      </c>
      <c r="B24" s="97" t="s">
        <v>242</v>
      </c>
      <c r="C24" s="97"/>
    </row>
  </sheetData>
  <mergeCells count="14">
    <mergeCell ref="A1:P1"/>
    <mergeCell ref="B2:D2"/>
    <mergeCell ref="E2:G2"/>
    <mergeCell ref="H2:J2"/>
    <mergeCell ref="K2:M2"/>
    <mergeCell ref="N2:P2"/>
    <mergeCell ref="B23:C23"/>
    <mergeCell ref="F23:G23"/>
    <mergeCell ref="B24:C24"/>
    <mergeCell ref="A20:P20"/>
    <mergeCell ref="B21:C21"/>
    <mergeCell ref="F21:G21"/>
    <mergeCell ref="B22:C22"/>
    <mergeCell ref="F22:G22"/>
  </mergeCells>
  <conditionalFormatting sqref="C4:C18">
    <cfRule type="expression" dxfId="34" priority="2">
      <formula>C4="Success"</formula>
    </cfRule>
    <cfRule type="expression" dxfId="33" priority="3">
      <formula>C4="Partial Fail"</formula>
    </cfRule>
    <cfRule type="expression" dxfId="32" priority="4">
      <formula>C4="Fail"</formula>
    </cfRule>
    <cfRule type="expression" dxfId="31" priority="5">
      <formula>C4="Time Limit"</formula>
    </cfRule>
    <cfRule type="expression" dxfId="30" priority="6">
      <formula>C4="Give Up"</formula>
    </cfRule>
    <cfRule type="expression" dxfId="29" priority="7">
      <formula>C4="Technical Issues"</formula>
    </cfRule>
    <cfRule type="expression" dxfId="28" priority="8">
      <formula>C4="Other"</formula>
    </cfRule>
  </conditionalFormatting>
  <conditionalFormatting sqref="F4:F18">
    <cfRule type="expression" dxfId="27" priority="9">
      <formula>F4="Success"</formula>
    </cfRule>
    <cfRule type="expression" dxfId="26" priority="10">
      <formula>F4="Partial Fail"</formula>
    </cfRule>
    <cfRule type="expression" dxfId="25" priority="11">
      <formula>F4="Fail"</formula>
    </cfRule>
    <cfRule type="expression" dxfId="24" priority="12">
      <formula>F4="Time Limit"</formula>
    </cfRule>
    <cfRule type="expression" dxfId="23" priority="13">
      <formula>F4="Give Up"</formula>
    </cfRule>
    <cfRule type="expression" dxfId="22" priority="14">
      <formula>F4="Technical Issues"</formula>
    </cfRule>
    <cfRule type="expression" dxfId="21" priority="15">
      <formula>F4="Other"</formula>
    </cfRule>
  </conditionalFormatting>
  <conditionalFormatting sqref="I4:I18">
    <cfRule type="expression" dxfId="20" priority="16">
      <formula>I4="Success"</formula>
    </cfRule>
    <cfRule type="expression" dxfId="19" priority="17">
      <formula>I4="Partial Fail"</formula>
    </cfRule>
    <cfRule type="expression" dxfId="18" priority="18">
      <formula>I4="Fail"</formula>
    </cfRule>
    <cfRule type="expression" dxfId="17" priority="19">
      <formula>I4="Time Limit"</formula>
    </cfRule>
    <cfRule type="expression" dxfId="16" priority="20">
      <formula>I4="Give Up"</formula>
    </cfRule>
    <cfRule type="expression" dxfId="15" priority="21">
      <formula>I4="Technical Issues"</formula>
    </cfRule>
    <cfRule type="expression" dxfId="14" priority="22">
      <formula>I4="Other"</formula>
    </cfRule>
  </conditionalFormatting>
  <conditionalFormatting sqref="L4:L18">
    <cfRule type="expression" dxfId="13" priority="23">
      <formula>L4="Success"</formula>
    </cfRule>
    <cfRule type="expression" dxfId="12" priority="24">
      <formula>L4="Partial Fail"</formula>
    </cfRule>
    <cfRule type="expression" dxfId="11" priority="25">
      <formula>L4="Fail"</formula>
    </cfRule>
    <cfRule type="expression" dxfId="10" priority="26">
      <formula>L4="Time Limit"</formula>
    </cfRule>
    <cfRule type="expression" dxfId="9" priority="27">
      <formula>L4="Give Up"</formula>
    </cfRule>
    <cfRule type="expression" dxfId="8" priority="28">
      <formula>L4="Technical Issues"</formula>
    </cfRule>
    <cfRule type="expression" dxfId="7" priority="29">
      <formula>L4="Other"</formula>
    </cfRule>
  </conditionalFormatting>
  <conditionalFormatting sqref="O4:O18">
    <cfRule type="expression" dxfId="6" priority="30">
      <formula>O4="Success"</formula>
    </cfRule>
    <cfRule type="expression" dxfId="5" priority="31">
      <formula>O4="Partial Fail"</formula>
    </cfRule>
    <cfRule type="expression" dxfId="4" priority="32">
      <formula>O4="Fail"</formula>
    </cfRule>
    <cfRule type="expression" dxfId="3" priority="33">
      <formula>O4="Time Limit"</formula>
    </cfRule>
    <cfRule type="expression" dxfId="2" priority="34">
      <formula>O4="Give Up"</formula>
    </cfRule>
    <cfRule type="expression" dxfId="1" priority="35">
      <formula>O4="Technical Issues"</formula>
    </cfRule>
    <cfRule type="expression" dxfId="0" priority="36">
      <formula>O4="Other"</formula>
    </cfRule>
  </conditionalFormatting>
  <dataValidations count="1">
    <dataValidation type="list" allowBlank="1" sqref="F4:F18 I4:I18 L4:L18 O4:O18 C4:C18" xr:uid="{00000000-0002-0000-0500-000000000000}">
      <formula1>"Success,Partial Fail,Fail,Time Limit,Give Up,Technical Issues,Other"</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19"/>
  <sheetViews>
    <sheetView showGridLines="0" zoomScaleNormal="100" workbookViewId="0">
      <pane xSplit="2" ySplit="3" topLeftCell="C4" activePane="bottomRight" state="frozen"/>
      <selection pane="bottomRight" activeCell="C9" sqref="C9"/>
      <selection pane="bottomLeft" activeCell="A4" sqref="A4"/>
      <selection pane="topRight" activeCell="C1" sqref="C1"/>
    </sheetView>
  </sheetViews>
  <sheetFormatPr defaultColWidth="8.7109375" defaultRowHeight="15"/>
  <cols>
    <col min="1" max="1" width="4" customWidth="1"/>
    <col min="2" max="2" width="22" customWidth="1"/>
    <col min="3" max="7" width="32" customWidth="1"/>
  </cols>
  <sheetData>
    <row r="1" spans="2:7" ht="39.75" customHeight="1">
      <c r="B1" s="80" t="s">
        <v>243</v>
      </c>
      <c r="C1" s="80"/>
      <c r="D1" s="80"/>
      <c r="E1" s="80"/>
      <c r="F1" s="80"/>
      <c r="G1" s="80"/>
    </row>
    <row r="2" spans="2:7" ht="21.75" customHeight="1">
      <c r="B2" s="81" t="s">
        <v>244</v>
      </c>
      <c r="C2" s="81"/>
      <c r="D2" s="81"/>
      <c r="E2" s="81"/>
      <c r="F2" s="81"/>
      <c r="G2" s="81"/>
    </row>
    <row r="3" spans="2:7" ht="30" customHeight="1">
      <c r="B3" s="22" t="s">
        <v>245</v>
      </c>
      <c r="C3" s="23" t="s">
        <v>60</v>
      </c>
      <c r="D3" s="24" t="s">
        <v>61</v>
      </c>
      <c r="E3" s="25" t="s">
        <v>62</v>
      </c>
      <c r="F3" s="26" t="s">
        <v>63</v>
      </c>
      <c r="G3" s="27" t="s">
        <v>64</v>
      </c>
    </row>
    <row r="4" spans="2:7" ht="51.75" customHeight="1">
      <c r="B4" s="28" t="s">
        <v>246</v>
      </c>
      <c r="C4" s="45" t="s">
        <v>247</v>
      </c>
      <c r="D4" s="45" t="s">
        <v>247</v>
      </c>
      <c r="E4" s="45" t="s">
        <v>247</v>
      </c>
      <c r="F4" s="45" t="s">
        <v>247</v>
      </c>
      <c r="G4" s="45" t="s">
        <v>247</v>
      </c>
    </row>
    <row r="5" spans="2:7" ht="51.75" customHeight="1">
      <c r="B5" s="28" t="s">
        <v>248</v>
      </c>
      <c r="C5" s="46"/>
      <c r="D5" s="46"/>
      <c r="E5" s="46"/>
      <c r="F5" s="46"/>
      <c r="G5" s="46"/>
    </row>
    <row r="6" spans="2:7" ht="51.75" customHeight="1">
      <c r="B6" s="28" t="s">
        <v>249</v>
      </c>
      <c r="C6" s="45"/>
      <c r="D6" s="45"/>
      <c r="E6" s="45"/>
      <c r="F6" s="45"/>
      <c r="G6" s="45"/>
    </row>
    <row r="7" spans="2:7" ht="51.75" customHeight="1">
      <c r="B7" s="28" t="s">
        <v>250</v>
      </c>
      <c r="C7" s="46"/>
      <c r="D7" s="46"/>
      <c r="E7" s="46"/>
      <c r="F7" s="46"/>
      <c r="G7" s="46"/>
    </row>
    <row r="8" spans="2:7" ht="51.75" customHeight="1">
      <c r="B8" s="28" t="s">
        <v>251</v>
      </c>
      <c r="C8" s="45"/>
      <c r="D8" s="45"/>
      <c r="E8" s="45"/>
      <c r="F8" s="45"/>
      <c r="G8" s="45"/>
    </row>
    <row r="9" spans="2:7" ht="51.75" customHeight="1">
      <c r="B9" s="28" t="s">
        <v>252</v>
      </c>
      <c r="C9" s="46"/>
      <c r="D9" s="46"/>
      <c r="E9" s="46"/>
      <c r="F9" s="46"/>
      <c r="G9" s="46"/>
    </row>
    <row r="10" spans="2:7" ht="51.75" customHeight="1">
      <c r="B10" s="28" t="s">
        <v>253</v>
      </c>
      <c r="C10" s="45"/>
      <c r="D10" s="45"/>
      <c r="E10" s="45"/>
      <c r="F10" s="45"/>
      <c r="G10" s="45"/>
    </row>
    <row r="11" spans="2:7" ht="51.75" customHeight="1">
      <c r="B11" s="28" t="s">
        <v>254</v>
      </c>
      <c r="C11" s="46"/>
      <c r="D11" s="46"/>
      <c r="E11" s="46"/>
      <c r="F11" s="46"/>
      <c r="G11" s="46"/>
    </row>
    <row r="12" spans="2:7" ht="51.75" customHeight="1">
      <c r="B12" s="28" t="s">
        <v>255</v>
      </c>
      <c r="C12" s="45"/>
      <c r="D12" s="45"/>
      <c r="E12" s="45"/>
      <c r="F12" s="45"/>
      <c r="G12" s="45"/>
    </row>
    <row r="14" spans="2:7" ht="24" customHeight="1">
      <c r="B14" s="88" t="s">
        <v>256</v>
      </c>
      <c r="C14" s="88"/>
      <c r="D14" s="88"/>
      <c r="E14" s="88"/>
      <c r="F14" s="88"/>
      <c r="G14" s="88"/>
    </row>
    <row r="15" spans="2:7" ht="24" customHeight="1">
      <c r="B15" s="22" t="s">
        <v>249</v>
      </c>
      <c r="C15" s="22" t="s">
        <v>257</v>
      </c>
      <c r="D15" s="22" t="s">
        <v>258</v>
      </c>
      <c r="E15" s="103" t="s">
        <v>259</v>
      </c>
      <c r="F15" s="103"/>
      <c r="G15" s="103"/>
    </row>
    <row r="16" spans="2:7" ht="27.75" customHeight="1">
      <c r="B16" s="47" t="s">
        <v>260</v>
      </c>
      <c r="C16" s="33" t="s">
        <v>261</v>
      </c>
      <c r="D16" s="32" t="s">
        <v>262</v>
      </c>
      <c r="E16" s="89" t="s">
        <v>263</v>
      </c>
      <c r="F16" s="89"/>
      <c r="G16" s="89"/>
    </row>
    <row r="17" spans="2:7" ht="27.75" customHeight="1">
      <c r="B17" s="48" t="s">
        <v>109</v>
      </c>
      <c r="C17" s="35" t="s">
        <v>264</v>
      </c>
      <c r="D17" s="34" t="s">
        <v>265</v>
      </c>
      <c r="E17" s="90" t="s">
        <v>266</v>
      </c>
      <c r="F17" s="90"/>
      <c r="G17" s="90"/>
    </row>
    <row r="18" spans="2:7" ht="27.75" customHeight="1">
      <c r="B18" s="49" t="s">
        <v>156</v>
      </c>
      <c r="C18" s="33" t="s">
        <v>267</v>
      </c>
      <c r="D18" s="32" t="s">
        <v>268</v>
      </c>
      <c r="E18" s="89" t="s">
        <v>269</v>
      </c>
      <c r="F18" s="89"/>
      <c r="G18" s="89"/>
    </row>
    <row r="19" spans="2:7" ht="27.75" customHeight="1">
      <c r="B19" s="50" t="s">
        <v>270</v>
      </c>
      <c r="C19" s="35" t="s">
        <v>271</v>
      </c>
      <c r="D19" s="34" t="s">
        <v>272</v>
      </c>
      <c r="E19" s="90" t="s">
        <v>273</v>
      </c>
      <c r="F19" s="90"/>
      <c r="G19" s="90"/>
    </row>
  </sheetData>
  <mergeCells count="8">
    <mergeCell ref="E17:G17"/>
    <mergeCell ref="E18:G18"/>
    <mergeCell ref="E19:G19"/>
    <mergeCell ref="B1:G1"/>
    <mergeCell ref="B2:G2"/>
    <mergeCell ref="B14:G14"/>
    <mergeCell ref="E15:G15"/>
    <mergeCell ref="E16:G1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D88"/>
  <sheetViews>
    <sheetView showGridLines="0" zoomScaleNormal="100" workbookViewId="0">
      <pane xSplit="2" ySplit="4" topLeftCell="C35" activePane="bottomRight" state="frozen"/>
      <selection pane="bottomRight" activeCell="C34" sqref="C34"/>
      <selection pane="bottomLeft" activeCell="A5" sqref="A5"/>
      <selection pane="topRight" activeCell="C1" sqref="C1"/>
    </sheetView>
  </sheetViews>
  <sheetFormatPr defaultColWidth="8.7109375" defaultRowHeight="15"/>
  <cols>
    <col min="1" max="2" width="3" customWidth="1"/>
    <col min="3" max="3" width="161" customWidth="1"/>
    <col min="4" max="4" width="82.42578125" customWidth="1"/>
    <col min="5" max="5" width="3" customWidth="1"/>
  </cols>
  <sheetData>
    <row r="1" spans="2:4" ht="43.5" customHeight="1">
      <c r="B1" s="82" t="s">
        <v>274</v>
      </c>
      <c r="C1" s="82"/>
      <c r="D1" s="82"/>
    </row>
    <row r="2" spans="2:4" ht="19.5" customHeight="1">
      <c r="B2" s="81" t="s">
        <v>275</v>
      </c>
      <c r="C2" s="81"/>
      <c r="D2" s="81"/>
    </row>
    <row r="3" spans="2:4" ht="19.5" customHeight="1">
      <c r="B3" s="81" t="s">
        <v>276</v>
      </c>
      <c r="C3" s="81"/>
      <c r="D3" s="81"/>
    </row>
    <row r="4" spans="2:4" ht="9.75" customHeight="1">
      <c r="B4" s="8"/>
      <c r="C4" s="8"/>
      <c r="D4" s="8"/>
    </row>
    <row r="5" spans="2:4" ht="31.5" customHeight="1">
      <c r="B5" s="114" t="s">
        <v>277</v>
      </c>
      <c r="C5" s="114"/>
      <c r="D5" s="114"/>
    </row>
    <row r="6" spans="2:4" ht="25.5" customHeight="1">
      <c r="C6" s="51" t="s">
        <v>278</v>
      </c>
      <c r="D6" s="51" t="s">
        <v>279</v>
      </c>
    </row>
    <row r="7" spans="2:4" ht="39.75" customHeight="1">
      <c r="B7" s="52"/>
      <c r="C7" s="4" t="s">
        <v>280</v>
      </c>
      <c r="D7" s="53" t="s">
        <v>281</v>
      </c>
    </row>
    <row r="8" spans="2:4" ht="39.75" customHeight="1">
      <c r="B8" s="52"/>
      <c r="C8" s="7" t="s">
        <v>282</v>
      </c>
      <c r="D8" s="53" t="s">
        <v>283</v>
      </c>
    </row>
    <row r="9" spans="2:4" ht="39.75" customHeight="1">
      <c r="B9" s="52"/>
      <c r="C9" s="4" t="s">
        <v>284</v>
      </c>
      <c r="D9" s="53" t="s">
        <v>285</v>
      </c>
    </row>
    <row r="10" spans="2:4" ht="39.75" customHeight="1">
      <c r="B10" s="52"/>
      <c r="C10" s="7" t="s">
        <v>286</v>
      </c>
      <c r="D10" s="53" t="s">
        <v>287</v>
      </c>
    </row>
    <row r="11" spans="2:4" ht="39.75" customHeight="1">
      <c r="B11" s="52"/>
      <c r="C11" s="4" t="s">
        <v>288</v>
      </c>
      <c r="D11" s="53" t="s">
        <v>289</v>
      </c>
    </row>
    <row r="12" spans="2:4" ht="39.75" customHeight="1">
      <c r="B12" s="52"/>
      <c r="C12" s="7" t="s">
        <v>290</v>
      </c>
      <c r="D12" s="53" t="s">
        <v>291</v>
      </c>
    </row>
    <row r="13" spans="2:4" ht="9.75" customHeight="1">
      <c r="B13" s="8"/>
      <c r="C13" s="8"/>
      <c r="D13" s="8"/>
    </row>
    <row r="14" spans="2:4" ht="31.5" customHeight="1">
      <c r="B14" s="109" t="s">
        <v>292</v>
      </c>
      <c r="C14" s="109"/>
      <c r="D14" s="109"/>
    </row>
    <row r="15" spans="2:4" ht="25.5" customHeight="1">
      <c r="C15" s="54" t="s">
        <v>278</v>
      </c>
      <c r="D15" s="54" t="s">
        <v>279</v>
      </c>
    </row>
    <row r="16" spans="2:4" ht="39.75" customHeight="1">
      <c r="B16" s="52"/>
      <c r="C16" s="4" t="s">
        <v>293</v>
      </c>
      <c r="D16" s="53" t="s">
        <v>294</v>
      </c>
    </row>
    <row r="17" spans="2:4" ht="39.75" customHeight="1">
      <c r="B17" s="52"/>
      <c r="C17" s="7" t="s">
        <v>295</v>
      </c>
      <c r="D17" s="53" t="s">
        <v>296</v>
      </c>
    </row>
    <row r="18" spans="2:4" ht="39.75" customHeight="1">
      <c r="B18" s="52"/>
      <c r="C18" s="4" t="s">
        <v>297</v>
      </c>
      <c r="D18" s="53" t="s">
        <v>298</v>
      </c>
    </row>
    <row r="19" spans="2:4" ht="39.75" customHeight="1">
      <c r="B19" s="52"/>
      <c r="C19" s="7" t="s">
        <v>299</v>
      </c>
      <c r="D19" s="53" t="s">
        <v>300</v>
      </c>
    </row>
    <row r="20" spans="2:4" ht="39.75" customHeight="1">
      <c r="B20" s="52"/>
      <c r="C20" s="4" t="s">
        <v>301</v>
      </c>
      <c r="D20" s="70" t="s">
        <v>302</v>
      </c>
    </row>
    <row r="21" spans="2:4" ht="27.75" customHeight="1">
      <c r="B21" s="55"/>
      <c r="C21" s="105" t="s">
        <v>303</v>
      </c>
      <c r="D21" s="105"/>
    </row>
    <row r="22" spans="2:4" ht="9.75" customHeight="1">
      <c r="B22" s="8"/>
      <c r="C22" s="8"/>
      <c r="D22" s="8"/>
    </row>
    <row r="23" spans="2:4" ht="31.5" customHeight="1">
      <c r="B23" s="112" t="s">
        <v>304</v>
      </c>
      <c r="C23" s="112"/>
      <c r="D23" s="112"/>
    </row>
    <row r="24" spans="2:4" ht="25.5" customHeight="1">
      <c r="C24" s="56" t="s">
        <v>278</v>
      </c>
      <c r="D24" s="56" t="s">
        <v>279</v>
      </c>
    </row>
    <row r="25" spans="2:4" ht="39.75" customHeight="1">
      <c r="B25" s="57"/>
      <c r="C25" s="10" t="s">
        <v>305</v>
      </c>
      <c r="D25" s="53" t="s">
        <v>306</v>
      </c>
    </row>
    <row r="26" spans="2:4" ht="39.75" customHeight="1">
      <c r="B26" s="57"/>
      <c r="C26" s="7" t="s">
        <v>307</v>
      </c>
      <c r="D26" s="53" t="s">
        <v>308</v>
      </c>
    </row>
    <row r="27" spans="2:4" ht="39.75" customHeight="1">
      <c r="B27" s="57"/>
      <c r="C27" s="10" t="s">
        <v>309</v>
      </c>
      <c r="D27" s="53" t="s">
        <v>310</v>
      </c>
    </row>
    <row r="28" spans="2:4" ht="39.75" customHeight="1">
      <c r="B28" s="57"/>
      <c r="C28" s="7" t="s">
        <v>311</v>
      </c>
      <c r="D28" s="53" t="s">
        <v>312</v>
      </c>
    </row>
    <row r="29" spans="2:4" ht="39.75" customHeight="1">
      <c r="B29" s="57"/>
      <c r="C29" s="10" t="s">
        <v>313</v>
      </c>
      <c r="D29" s="53" t="s">
        <v>314</v>
      </c>
    </row>
    <row r="30" spans="2:4" ht="39.75" customHeight="1">
      <c r="B30" s="57"/>
      <c r="C30" s="7" t="s">
        <v>315</v>
      </c>
      <c r="D30" s="53" t="s">
        <v>316</v>
      </c>
    </row>
    <row r="31" spans="2:4" ht="9.75" customHeight="1">
      <c r="B31" s="8"/>
      <c r="C31" s="8"/>
      <c r="D31" s="8"/>
    </row>
    <row r="32" spans="2:4" ht="31.5" customHeight="1">
      <c r="B32" s="115" t="s">
        <v>317</v>
      </c>
      <c r="C32" s="115"/>
      <c r="D32" s="115"/>
    </row>
    <row r="33" spans="2:4" ht="25.5" customHeight="1">
      <c r="C33" s="58" t="s">
        <v>278</v>
      </c>
      <c r="D33" s="58" t="s">
        <v>279</v>
      </c>
    </row>
    <row r="34" spans="2:4" ht="39.75" customHeight="1">
      <c r="B34" s="59"/>
      <c r="C34" s="13" t="s">
        <v>318</v>
      </c>
      <c r="D34" s="53" t="s">
        <v>319</v>
      </c>
    </row>
    <row r="35" spans="2:4" ht="39.75" customHeight="1">
      <c r="B35" s="59"/>
      <c r="C35" s="7" t="s">
        <v>320</v>
      </c>
      <c r="D35" s="53" t="s">
        <v>321</v>
      </c>
    </row>
    <row r="36" spans="2:4" ht="39.75" customHeight="1">
      <c r="B36" s="59"/>
      <c r="C36" s="13" t="s">
        <v>322</v>
      </c>
      <c r="D36" s="53" t="s">
        <v>323</v>
      </c>
    </row>
    <row r="37" spans="2:4" ht="39.75" customHeight="1">
      <c r="B37" s="59"/>
      <c r="C37" s="7" t="s">
        <v>324</v>
      </c>
      <c r="D37" s="53" t="s">
        <v>325</v>
      </c>
    </row>
    <row r="38" spans="2:4" ht="39.75" customHeight="1">
      <c r="B38" s="59"/>
      <c r="C38" s="13" t="s">
        <v>326</v>
      </c>
      <c r="D38" s="53" t="s">
        <v>327</v>
      </c>
    </row>
    <row r="39" spans="2:4" ht="39.75" customHeight="1">
      <c r="B39" s="59"/>
      <c r="C39" s="7" t="s">
        <v>328</v>
      </c>
      <c r="D39" s="53" t="s">
        <v>329</v>
      </c>
    </row>
    <row r="40" spans="2:4" ht="27.75" customHeight="1">
      <c r="B40" s="60"/>
      <c r="C40" s="105" t="s">
        <v>330</v>
      </c>
      <c r="D40" s="105"/>
    </row>
    <row r="41" spans="2:4" ht="9.75" customHeight="1">
      <c r="B41" s="8"/>
      <c r="C41" s="8"/>
      <c r="D41" s="8"/>
    </row>
    <row r="42" spans="2:4" ht="31.5" customHeight="1">
      <c r="B42" s="113" t="s">
        <v>331</v>
      </c>
      <c r="C42" s="113"/>
      <c r="D42" s="113"/>
    </row>
    <row r="43" spans="2:4" ht="19.5" customHeight="1">
      <c r="B43" s="104" t="s">
        <v>332</v>
      </c>
      <c r="C43" s="104"/>
      <c r="D43" s="104"/>
    </row>
    <row r="44" spans="2:4" ht="25.5" customHeight="1">
      <c r="C44" s="61" t="s">
        <v>278</v>
      </c>
      <c r="D44" s="61" t="s">
        <v>279</v>
      </c>
    </row>
    <row r="45" spans="2:4" ht="39.75" customHeight="1">
      <c r="B45" s="62"/>
      <c r="C45" s="19" t="s">
        <v>333</v>
      </c>
      <c r="D45" s="53" t="s">
        <v>334</v>
      </c>
    </row>
    <row r="46" spans="2:4" ht="39.75" customHeight="1">
      <c r="B46" s="62"/>
      <c r="C46" s="7" t="s">
        <v>335</v>
      </c>
      <c r="D46" s="53" t="s">
        <v>336</v>
      </c>
    </row>
    <row r="47" spans="2:4" ht="39.75" customHeight="1">
      <c r="B47" s="62"/>
      <c r="C47" s="19" t="s">
        <v>337</v>
      </c>
      <c r="D47" s="53" t="s">
        <v>338</v>
      </c>
    </row>
    <row r="48" spans="2:4" ht="39.75" customHeight="1">
      <c r="B48" s="62"/>
      <c r="C48" s="7" t="s">
        <v>339</v>
      </c>
      <c r="D48" s="53" t="s">
        <v>340</v>
      </c>
    </row>
    <row r="49" spans="2:4" ht="39.75" customHeight="1">
      <c r="B49" s="62"/>
      <c r="C49" s="19" t="s">
        <v>341</v>
      </c>
      <c r="D49" s="53" t="s">
        <v>342</v>
      </c>
    </row>
    <row r="50" spans="2:4" ht="39.75" customHeight="1">
      <c r="B50" s="62"/>
      <c r="C50" s="7" t="s">
        <v>343</v>
      </c>
      <c r="D50" s="53" t="s">
        <v>344</v>
      </c>
    </row>
    <row r="51" spans="2:4" ht="27.75" customHeight="1">
      <c r="B51" s="63"/>
      <c r="C51" s="105" t="s">
        <v>345</v>
      </c>
      <c r="D51" s="105"/>
    </row>
    <row r="52" spans="2:4" ht="9.75" customHeight="1">
      <c r="B52" s="8"/>
      <c r="C52" s="8"/>
      <c r="D52" s="8"/>
    </row>
    <row r="53" spans="2:4" ht="31.5" customHeight="1">
      <c r="B53" s="106" t="s">
        <v>346</v>
      </c>
      <c r="C53" s="106"/>
      <c r="D53" s="106"/>
    </row>
    <row r="54" spans="2:4" ht="19.5" customHeight="1">
      <c r="B54" s="107" t="s">
        <v>347</v>
      </c>
      <c r="C54" s="107"/>
      <c r="D54" s="107"/>
    </row>
    <row r="55" spans="2:4" ht="25.5" customHeight="1">
      <c r="C55" s="64" t="s">
        <v>278</v>
      </c>
      <c r="D55" s="64" t="s">
        <v>279</v>
      </c>
    </row>
    <row r="56" spans="2:4" ht="39.75" customHeight="1">
      <c r="B56" s="65"/>
      <c r="C56" s="21" t="s">
        <v>348</v>
      </c>
      <c r="D56" s="53" t="s">
        <v>349</v>
      </c>
    </row>
    <row r="57" spans="2:4" ht="39.75" customHeight="1">
      <c r="B57" s="65"/>
      <c r="C57" s="7" t="s">
        <v>350</v>
      </c>
      <c r="D57" s="53" t="s">
        <v>351</v>
      </c>
    </row>
    <row r="58" spans="2:4" ht="39.75" customHeight="1">
      <c r="B58" s="65"/>
      <c r="C58" s="21" t="s">
        <v>352</v>
      </c>
      <c r="D58" s="53" t="s">
        <v>353</v>
      </c>
    </row>
    <row r="59" spans="2:4" ht="39.75" customHeight="1">
      <c r="B59" s="65"/>
      <c r="C59" s="7" t="s">
        <v>354</v>
      </c>
      <c r="D59" s="53" t="s">
        <v>355</v>
      </c>
    </row>
    <row r="60" spans="2:4" ht="39.75" customHeight="1">
      <c r="B60" s="65"/>
      <c r="C60" s="21" t="s">
        <v>356</v>
      </c>
      <c r="D60" s="53" t="s">
        <v>357</v>
      </c>
    </row>
    <row r="61" spans="2:4" ht="39.75" customHeight="1">
      <c r="B61" s="65"/>
      <c r="C61" s="7" t="s">
        <v>358</v>
      </c>
      <c r="D61" s="53" t="s">
        <v>359</v>
      </c>
    </row>
    <row r="62" spans="2:4" ht="27.75" customHeight="1">
      <c r="B62" s="66"/>
      <c r="C62" s="105" t="s">
        <v>360</v>
      </c>
      <c r="D62" s="105"/>
    </row>
    <row r="63" spans="2:4" ht="9.75" customHeight="1">
      <c r="B63" s="8"/>
      <c r="C63" s="8"/>
      <c r="D63" s="8"/>
    </row>
    <row r="64" spans="2:4" ht="31.5" customHeight="1">
      <c r="B64" s="109" t="s">
        <v>361</v>
      </c>
      <c r="C64" s="109"/>
      <c r="D64" s="109"/>
    </row>
    <row r="65" spans="2:4" ht="19.5" customHeight="1">
      <c r="B65" s="110" t="s">
        <v>362</v>
      </c>
      <c r="C65" s="110"/>
      <c r="D65" s="110"/>
    </row>
    <row r="66" spans="2:4" ht="25.5" customHeight="1">
      <c r="C66" s="54" t="s">
        <v>278</v>
      </c>
      <c r="D66" s="54" t="s">
        <v>279</v>
      </c>
    </row>
    <row r="67" spans="2:4" ht="39.75" customHeight="1">
      <c r="B67" s="52"/>
      <c r="C67" s="4" t="s">
        <v>363</v>
      </c>
      <c r="D67" s="53" t="s">
        <v>364</v>
      </c>
    </row>
    <row r="68" spans="2:4" ht="39.75" customHeight="1">
      <c r="B68" s="52"/>
      <c r="C68" s="7" t="s">
        <v>365</v>
      </c>
      <c r="D68" s="53" t="s">
        <v>366</v>
      </c>
    </row>
    <row r="69" spans="2:4" ht="39.75" customHeight="1">
      <c r="B69" s="52"/>
      <c r="C69" s="4" t="s">
        <v>367</v>
      </c>
      <c r="D69" s="53" t="s">
        <v>368</v>
      </c>
    </row>
    <row r="70" spans="2:4" ht="39.75" customHeight="1">
      <c r="B70" s="52"/>
      <c r="C70" s="7" t="s">
        <v>369</v>
      </c>
      <c r="D70" s="53" t="s">
        <v>370</v>
      </c>
    </row>
    <row r="71" spans="2:4" ht="39.75" customHeight="1">
      <c r="B71" s="52"/>
      <c r="C71" s="4" t="s">
        <v>371</v>
      </c>
      <c r="D71" s="53" t="s">
        <v>372</v>
      </c>
    </row>
    <row r="72" spans="2:4" ht="39.75" customHeight="1">
      <c r="B72" s="52"/>
      <c r="C72" s="7" t="s">
        <v>373</v>
      </c>
      <c r="D72" s="53" t="s">
        <v>289</v>
      </c>
    </row>
    <row r="73" spans="2:4" ht="27.75" customHeight="1">
      <c r="B73" s="55"/>
      <c r="C73" s="105" t="s">
        <v>374</v>
      </c>
      <c r="D73" s="105"/>
    </row>
    <row r="74" spans="2:4" ht="9.75" customHeight="1">
      <c r="B74" s="8"/>
      <c r="C74" s="8"/>
      <c r="D74" s="8"/>
    </row>
    <row r="75" spans="2:4" ht="31.5" customHeight="1">
      <c r="B75" s="111" t="s">
        <v>375</v>
      </c>
      <c r="C75" s="111"/>
      <c r="D75" s="111"/>
    </row>
    <row r="76" spans="2:4" ht="19.5" customHeight="1">
      <c r="B76" s="108" t="s">
        <v>376</v>
      </c>
      <c r="C76" s="108"/>
      <c r="D76" s="108"/>
    </row>
    <row r="77" spans="2:4" ht="25.5" customHeight="1">
      <c r="C77" s="67" t="s">
        <v>377</v>
      </c>
      <c r="D77" s="67" t="s">
        <v>378</v>
      </c>
    </row>
    <row r="78" spans="2:4" ht="39.75" customHeight="1">
      <c r="B78" s="68"/>
      <c r="C78" s="69" t="s">
        <v>379</v>
      </c>
      <c r="D78" s="53" t="s">
        <v>380</v>
      </c>
    </row>
    <row r="79" spans="2:4" ht="39.75" customHeight="1">
      <c r="B79" s="68"/>
      <c r="C79" s="7" t="s">
        <v>381</v>
      </c>
      <c r="D79" s="53" t="s">
        <v>382</v>
      </c>
    </row>
    <row r="80" spans="2:4" ht="39.75" customHeight="1">
      <c r="B80" s="68"/>
      <c r="C80" s="69" t="s">
        <v>383</v>
      </c>
      <c r="D80" s="53" t="s">
        <v>384</v>
      </c>
    </row>
    <row r="81" spans="2:4" ht="39.75" customHeight="1">
      <c r="B81" s="68"/>
      <c r="C81" s="7" t="s">
        <v>385</v>
      </c>
      <c r="D81" s="53" t="s">
        <v>386</v>
      </c>
    </row>
    <row r="82" spans="2:4" ht="39.75" customHeight="1">
      <c r="B82" s="68"/>
      <c r="C82" s="69" t="s">
        <v>387</v>
      </c>
      <c r="D82" s="53" t="s">
        <v>388</v>
      </c>
    </row>
    <row r="83" spans="2:4" ht="39.75" customHeight="1">
      <c r="B83" s="68"/>
      <c r="C83" s="7" t="s">
        <v>389</v>
      </c>
      <c r="D83" s="53" t="s">
        <v>390</v>
      </c>
    </row>
    <row r="84" spans="2:4" ht="39.75" customHeight="1">
      <c r="B84" s="68"/>
      <c r="C84" s="69" t="s">
        <v>391</v>
      </c>
      <c r="D84" s="53" t="s">
        <v>289</v>
      </c>
    </row>
    <row r="85" spans="2:4" ht="39.75" customHeight="1">
      <c r="B85" s="68"/>
      <c r="C85" s="7" t="s">
        <v>392</v>
      </c>
      <c r="D85" s="53" t="s">
        <v>393</v>
      </c>
    </row>
    <row r="86" spans="2:4" ht="39.75" customHeight="1">
      <c r="B86" s="68"/>
      <c r="C86" s="69" t="s">
        <v>394</v>
      </c>
      <c r="D86" s="53" t="s">
        <v>395</v>
      </c>
    </row>
    <row r="87" spans="2:4" ht="39.75" customHeight="1">
      <c r="B87" s="68"/>
      <c r="C87" s="7" t="s">
        <v>396</v>
      </c>
      <c r="D87" s="53" t="s">
        <v>397</v>
      </c>
    </row>
    <row r="88" spans="2:4" ht="9.75" customHeight="1">
      <c r="B88" s="8"/>
      <c r="C88" s="8"/>
      <c r="D88" s="8"/>
    </row>
  </sheetData>
  <mergeCells count="20">
    <mergeCell ref="B1:D1"/>
    <mergeCell ref="B2:D2"/>
    <mergeCell ref="B3:D3"/>
    <mergeCell ref="B5:D5"/>
    <mergeCell ref="B32:D32"/>
    <mergeCell ref="C40:D40"/>
    <mergeCell ref="B14:D14"/>
    <mergeCell ref="C21:D21"/>
    <mergeCell ref="B23:D23"/>
    <mergeCell ref="B42:D42"/>
    <mergeCell ref="B43:D43"/>
    <mergeCell ref="C51:D51"/>
    <mergeCell ref="B53:D53"/>
    <mergeCell ref="B54:D54"/>
    <mergeCell ref="B76:D76"/>
    <mergeCell ref="C62:D62"/>
    <mergeCell ref="B64:D64"/>
    <mergeCell ref="B65:D65"/>
    <mergeCell ref="C73:D73"/>
    <mergeCell ref="B75:D75"/>
  </mergeCells>
  <hyperlinks>
    <hyperlink ref="D7" r:id="rId1" xr:uid="{00000000-0004-0000-0700-000000000000}"/>
    <hyperlink ref="D8" r:id="rId2" xr:uid="{00000000-0004-0000-0700-000001000000}"/>
    <hyperlink ref="D9" r:id="rId3" xr:uid="{00000000-0004-0000-0700-000002000000}"/>
    <hyperlink ref="D10" r:id="rId4" xr:uid="{00000000-0004-0000-0700-000003000000}"/>
    <hyperlink ref="D11" r:id="rId5" xr:uid="{00000000-0004-0000-0700-000004000000}"/>
    <hyperlink ref="D12" r:id="rId6" xr:uid="{00000000-0004-0000-0700-000005000000}"/>
    <hyperlink ref="D16" r:id="rId7" xr:uid="{00000000-0004-0000-0700-000006000000}"/>
    <hyperlink ref="D17" r:id="rId8" xr:uid="{00000000-0004-0000-0700-000007000000}"/>
    <hyperlink ref="D18" r:id="rId9" xr:uid="{00000000-0004-0000-0700-000008000000}"/>
    <hyperlink ref="D19" r:id="rId10" xr:uid="{00000000-0004-0000-0700-000009000000}"/>
    <hyperlink ref="D25" r:id="rId11" xr:uid="{00000000-0004-0000-0700-00000C000000}"/>
    <hyperlink ref="D26" r:id="rId12" xr:uid="{00000000-0004-0000-0700-00000D000000}"/>
    <hyperlink ref="D27" r:id="rId13" xr:uid="{00000000-0004-0000-0700-00000E000000}"/>
    <hyperlink ref="D28" r:id="rId14" xr:uid="{00000000-0004-0000-0700-00000F000000}"/>
    <hyperlink ref="D29" r:id="rId15" xr:uid="{00000000-0004-0000-0700-000010000000}"/>
    <hyperlink ref="D30" r:id="rId16" xr:uid="{00000000-0004-0000-0700-000011000000}"/>
    <hyperlink ref="D34" r:id="rId17" xr:uid="{00000000-0004-0000-0700-000012000000}"/>
    <hyperlink ref="D35" r:id="rId18" xr:uid="{00000000-0004-0000-0700-000013000000}"/>
    <hyperlink ref="D36" r:id="rId19" xr:uid="{00000000-0004-0000-0700-000014000000}"/>
    <hyperlink ref="D37" r:id="rId20" xr:uid="{00000000-0004-0000-0700-000015000000}"/>
    <hyperlink ref="D38" r:id="rId21" xr:uid="{00000000-0004-0000-0700-000016000000}"/>
    <hyperlink ref="D39" r:id="rId22" xr:uid="{00000000-0004-0000-0700-000017000000}"/>
    <hyperlink ref="D45" r:id="rId23" xr:uid="{00000000-0004-0000-0700-000018000000}"/>
    <hyperlink ref="D46" r:id="rId24" xr:uid="{00000000-0004-0000-0700-000019000000}"/>
    <hyperlink ref="D47" r:id="rId25" xr:uid="{00000000-0004-0000-0700-00001A000000}"/>
    <hyperlink ref="D48" r:id="rId26" xr:uid="{00000000-0004-0000-0700-00001B000000}"/>
    <hyperlink ref="D49" r:id="rId27" xr:uid="{00000000-0004-0000-0700-00001C000000}"/>
    <hyperlink ref="D50" r:id="rId28" xr:uid="{00000000-0004-0000-0700-00001D000000}"/>
    <hyperlink ref="D56" r:id="rId29" xr:uid="{00000000-0004-0000-0700-00001E000000}"/>
    <hyperlink ref="D57" r:id="rId30" xr:uid="{00000000-0004-0000-0700-00001F000000}"/>
    <hyperlink ref="D58" r:id="rId31" xr:uid="{00000000-0004-0000-0700-000020000000}"/>
    <hyperlink ref="D59" r:id="rId32" xr:uid="{00000000-0004-0000-0700-000021000000}"/>
    <hyperlink ref="D60" r:id="rId33" xr:uid="{00000000-0004-0000-0700-000022000000}"/>
    <hyperlink ref="D61" r:id="rId34" xr:uid="{00000000-0004-0000-0700-000023000000}"/>
    <hyperlink ref="D67" r:id="rId35" xr:uid="{00000000-0004-0000-0700-000024000000}"/>
    <hyperlink ref="D68" r:id="rId36" xr:uid="{00000000-0004-0000-0700-000025000000}"/>
    <hyperlink ref="D69" r:id="rId37" xr:uid="{00000000-0004-0000-0700-000026000000}"/>
    <hyperlink ref="D70" r:id="rId38" xr:uid="{00000000-0004-0000-0700-000027000000}"/>
    <hyperlink ref="D71" r:id="rId39" xr:uid="{00000000-0004-0000-0700-000028000000}"/>
    <hyperlink ref="D72" r:id="rId40" xr:uid="{00000000-0004-0000-0700-000029000000}"/>
    <hyperlink ref="D78" r:id="rId41" xr:uid="{00000000-0004-0000-0700-00002A000000}"/>
    <hyperlink ref="D79" r:id="rId42" xr:uid="{00000000-0004-0000-0700-00002B000000}"/>
    <hyperlink ref="D80" r:id="rId43" xr:uid="{00000000-0004-0000-0700-00002C000000}"/>
    <hyperlink ref="D81" r:id="rId44" xr:uid="{00000000-0004-0000-0700-00002D000000}"/>
    <hyperlink ref="D82" r:id="rId45" xr:uid="{00000000-0004-0000-0700-00002E000000}"/>
    <hyperlink ref="D83" r:id="rId46" xr:uid="{00000000-0004-0000-0700-00002F000000}"/>
    <hyperlink ref="D84" r:id="rId47" xr:uid="{00000000-0004-0000-0700-000030000000}"/>
    <hyperlink ref="D85" r:id="rId48" xr:uid="{00000000-0004-0000-0700-000031000000}"/>
    <hyperlink ref="D86" r:id="rId49" xr:uid="{00000000-0004-0000-0700-000032000000}"/>
    <hyperlink ref="D87" r:id="rId50" xr:uid="{00000000-0004-0000-0700-000033000000}"/>
    <hyperlink ref="D20" r:id="rId51" xr:uid="{00000000-0004-0000-0700-00000A000000}"/>
  </hyperlink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7A292C9EA99CC4DB040A14F7EB7CAAE" ma:contentTypeVersion="13" ma:contentTypeDescription="Create a new document." ma:contentTypeScope="" ma:versionID="afc2d48892ad9d85173ee4238de4740b">
  <xsd:schema xmlns:xsd="http://www.w3.org/2001/XMLSchema" xmlns:xs="http://www.w3.org/2001/XMLSchema" xmlns:p="http://schemas.microsoft.com/office/2006/metadata/properties" xmlns:ns2="3a515c89-0c3e-4060-8eba-4c2eeb3cc3ab" xmlns:ns3="d0f9f239-cc39-4af7-9648-3bbd68e9fcc0" targetNamespace="http://schemas.microsoft.com/office/2006/metadata/properties" ma:root="true" ma:fieldsID="4a17989cb746de587726ad5d22c784a7" ns2:_="" ns3:_="">
    <xsd:import namespace="3a515c89-0c3e-4060-8eba-4c2eeb3cc3ab"/>
    <xsd:import namespace="d0f9f239-cc39-4af7-9648-3bbd68e9fc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515c89-0c3e-4060-8eba-4c2eeb3cc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fc7e3e-e2e3-4810-9525-338c41887b6c"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0f9f239-cc39-4af7-9648-3bbd68e9fc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515c89-0c3e-4060-8eba-4c2eeb3cc3a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5CF5348-99C7-43C9-9447-994D08776351}"/>
</file>

<file path=customXml/itemProps2.xml><?xml version="1.0" encoding="utf-8"?>
<ds:datastoreItem xmlns:ds="http://schemas.openxmlformats.org/officeDocument/2006/customXml" ds:itemID="{DE392891-F054-451C-8AEF-28612D103444}"/>
</file>

<file path=customXml/itemProps3.xml><?xml version="1.0" encoding="utf-8"?>
<ds:datastoreItem xmlns:ds="http://schemas.openxmlformats.org/officeDocument/2006/customXml" ds:itemID="{087DE012-AD79-4B15-8AE6-E1AD8695F4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2026-04-20T11:38:43Z</dcterms:created>
  <dcterms:modified xsi:type="dcterms:W3CDTF">2026-04-29T15:24:31Z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0x010100D7A292C9EA99CC4DB040A14F7EB7CAAE</vt:lpwstr>
  </property>
  <property fmtid="{D5CDD505-2E9C-101B-9397-08002B2CF9AE}" pid="3" name="MediaServiceImageTags">
    <vt:lpwstr/>
  </property>
</Properties>
</file>