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ickoff Questions" sheetId="1" state="visible" r:id="rId3"/>
    <sheet name="Summary" sheetId="2" state="visible" r:id="rId4"/>
    <sheet name="Study Goals" sheetId="3" state="visible" r:id="rId5"/>
    <sheet name="Tasks" sheetId="4" state="visible" r:id="rId6"/>
    <sheet name="Participants" sheetId="5" state="visible" r:id="rId7"/>
    <sheet name="Data" sheetId="6" state="visible" r:id="rId8"/>
    <sheet name="Analysis" sheetId="7" state="visible" r:id="rId9"/>
    <sheet name="Help &amp; Guidance"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<sst xmlns="http://schemas.openxmlformats.org/spreadsheetml/2006/main" count="566" uniqueCount="439">
  <si>
    <t xml:space="preserve">USABILITY TEST KICKOFF · Questions to Scope Your Study</t>
  </si>
  <si>
    <t xml:space="preserve">Use these questions to guide your kickoff meeting with product owners and stakeholders before designing your study.</t>
  </si>
  <si>
    <t xml:space="preserve">The 'Your Notes' column is for capturing answers, commitments, or follow-up actions during or after the meeting.</t>
  </si>
  <si>
    <t xml:space="preserve">Question</t>
  </si>
  <si>
    <t xml:space="preserve">Your Notes</t>
  </si>
  <si>
    <t xml:space="preserve">Background &amp; Business Context</t>
  </si>
  <si>
    <t xml:space="preserve">›</t>
  </si>
  <si>
    <t xml:space="preserve">What is this product or feature, and who is it designed for?</t>
  </si>
  <si>
    <t xml:space="preserve">What problem does it solve for the user? What problem does it solve for the business?</t>
  </si>
  <si>
    <t xml:space="preserve">Where does this sit in the product lifecycle — pre-launch validation, a post-launch audit, or something else?</t>
  </si>
  <si>
    <t xml:space="preserve">What prompted this research request right now? Was there a specific incident, metric, complaint, or upcoming deadline?</t>
  </si>
  <si>
    <t xml:space="preserve">Has this product or feature been tested before? If so, what were the findings, and what changed since then?</t>
  </si>
  <si>
    <t xml:space="preserve">Are there competing internal priorities or other research streams we should be aware of that might affect timelines or access to participants?</t>
  </si>
  <si>
    <t xml:space="preserve">Research Goals &amp; Questions</t>
  </si>
  <si>
    <t xml:space="preserve">What are the two or three most important things you need to learn from this study?</t>
  </si>
  <si>
    <t xml:space="preserve">If you could only answer one question from this test, what would it be?</t>
  </si>
  <si>
    <t xml:space="preserve">What decisions will be made with the output of this research? Who will be making those decisions?</t>
  </si>
  <si>
    <t xml:space="preserve">Are there any hypotheses you're already working with — things you suspect are true but need to validate or disprove?</t>
  </si>
  <si>
    <t xml:space="preserve">Are there any areas of the product you specifically want to include or exclude from testing?</t>
  </si>
  <si>
    <t xml:space="preserve">Is there anything you're worried we might find?</t>
  </si>
  <si>
    <t xml:space="preserve">What does 'success' look like for this research engagement — what would make stakeholders feel it was worth doing?</t>
  </si>
  <si>
    <t xml:space="preserve">Users &amp; Participants</t>
  </si>
  <si>
    <t xml:space="preserve">Who is the primary target user for this product or feature?</t>
  </si>
  <si>
    <t xml:space="preserve">Are there distinct user segments or personas we should account for? Should we test all of them, or prioritize one?</t>
  </si>
  <si>
    <t xml:space="preserve">What level of prior experience with this product should participants have — first-time users, occasional users, power users, or a mix?</t>
  </si>
  <si>
    <t xml:space="preserve">Are there any technical or domain knowledge requirements for participants (e.g., must be a healthcare professional, must manage a team of 5+)?</t>
  </si>
  <si>
    <t xml:space="preserve">What devices do your users typically use — desktop, mobile, tablet? Is there a known split?</t>
  </si>
  <si>
    <t xml:space="preserve">What is the geographic and language distribution of your users? Should the test reflect that?</t>
  </si>
  <si>
    <t xml:space="preserve">Are there demographics that are particularly important to include or exclude (e.g., accessibility needs, age ranges, tech literacy)?</t>
  </si>
  <si>
    <t xml:space="preserve">Do you have access to an existing user panel or CRM we can recruit from, or will we be recruiting externally?</t>
  </si>
  <si>
    <t xml:space="preserve">Are there any legal or compliance constraints around who can participate (e.g., minors, regulated industries)?</t>
  </si>
  <si>
    <t xml:space="preserve">How many participants are you expecting — and are you open to a recommendation on sample size?</t>
  </si>
  <si>
    <t xml:space="preserve">Scope &amp; Tasks</t>
  </si>
  <si>
    <t xml:space="preserve">What are the specific tasks or user journeys you want us to test?</t>
  </si>
  <si>
    <t xml:space="preserve">Are these tasks based on actual observed user behaviour, or are they assumed flows?</t>
  </si>
  <si>
    <t xml:space="preserve">What is the starting point for each task — a specific URL, a particular app state, a logged-in or logged-out experience?</t>
  </si>
  <si>
    <t xml:space="preserve">Are there prerequisite conditions for any tasks (e.g., the user must have already created an account, added items to a cart)?</t>
  </si>
  <si>
    <t xml:space="preserve">Are there tasks you want to include for benchmarking purposes — things you've tested before and want to track over time?</t>
  </si>
  <si>
    <t xml:space="preserve">What does successful completion of each task look like? Is it binary, or is partial completion meaningful?</t>
  </si>
  <si>
    <t xml:space="preserve">Should we be testing the current live product, a prototype, or a staging environment?</t>
  </si>
  <si>
    <t xml:space="preserve">If it's a prototype — how complete is it? Are there dead ends, missing states, or known gaps we should know about?</t>
  </si>
  <si>
    <t xml:space="preserve">Are there any flows that are broken, incomplete, or should be avoided during testing?</t>
  </si>
  <si>
    <t xml:space="preserve">Methodology</t>
  </si>
  <si>
    <t xml:space="preserve">Do you have a preference for moderated vs. unmoderated testing? Do you understand the tradeoffs?</t>
  </si>
  <si>
    <t xml:space="preserve">Do sessions need to be in-person, or is remote acceptable?</t>
  </si>
  <si>
    <t xml:space="preserve">Is there a preference for think-aloud protocol, or are you open to the researcher choosing the facilitation approach?</t>
  </si>
  <si>
    <t xml:space="preserve">Should we be collecting quantitative data (task success rates, time on task, error counts), qualitative data, or both?</t>
  </si>
  <si>
    <t xml:space="preserve">Is there interest in standardized scales — like SUS, SEQ, or UMUX-Lite — or should we design custom measures?</t>
  </si>
  <si>
    <t xml:space="preserve">Are there any competitor products or alternative experiences you'd like to include as a comparison point?</t>
  </si>
  <si>
    <t xml:space="preserve">Will stakeholders want to observe live sessions? If so, how many people, and what's the logistics preference?</t>
  </si>
  <si>
    <t xml:space="preserve">Do you have a note-taking or tagging system you'd like us to use, or should we bring our own?</t>
  </si>
  <si>
    <t xml:space="preserve">⏱ Timeline &amp; Logistics</t>
  </si>
  <si>
    <t xml:space="preserve">When do you need findings delivered by? Is there a specific decision gate, release date, or meeting this needs to feed into?</t>
  </si>
  <si>
    <t xml:space="preserve">Working backwards from that — what is the latest we can start recruitment?</t>
  </si>
  <si>
    <t xml:space="preserve">How much flexibility is there in the timeline if recruitment is slow or technical issues arise?</t>
  </si>
  <si>
    <t xml:space="preserve">What is the availability of your team to review screeners, discussion guides, and prototypes before fieldwork begins?</t>
  </si>
  <si>
    <t xml:space="preserve">Will you need a topline readout before the full report, and if so, how quickly after sessions end?</t>
  </si>
  <si>
    <t xml:space="preserve">What format do you want deliverables in — slide deck, written report, video highlights, a working session, or a combination?</t>
  </si>
  <si>
    <t xml:space="preserve">Who needs to be in the readout meeting? Are there executive stakeholders who need a shorter version?</t>
  </si>
  <si>
    <t xml:space="preserve">Stakeholders &amp; Decision-Making</t>
  </si>
  <si>
    <t xml:space="preserve">Who are the key stakeholders for this project — product, design, engineering, marketing, legal?</t>
  </si>
  <si>
    <t xml:space="preserve">Who is the primary point of contact we should work with day-to-day?</t>
  </si>
  <si>
    <t xml:space="preserve">Who has the authority to approve the screener, discussion guide, and final deliverable?</t>
  </si>
  <si>
    <t xml:space="preserve">Are there any stakeholders who are skeptical of qualitative research or may push back on findings?</t>
  </si>
  <si>
    <t xml:space="preserve">Are there known internal disagreements about the design we should be aware of — areas where the team is already debating what to do?</t>
  </si>
  <si>
    <t xml:space="preserve">Have findings from previous research been acted on? If not, what got in the way, and how can we format findings to be more actionable this time?</t>
  </si>
  <si>
    <t xml:space="preserve">⚖ Constraints &amp; Risks</t>
  </si>
  <si>
    <t xml:space="preserve">Are there any regulatory, legal, or privacy constraints we need to be aware of (GDPR, HIPAA, NDAs for participants, etc.)?</t>
  </si>
  <si>
    <t xml:space="preserve">Is there a budget ceiling for recruitment incentives?</t>
  </si>
  <si>
    <t xml:space="preserve">Are there branding or confidentiality requirements for how the product is presented during sessions?</t>
  </si>
  <si>
    <t xml:space="preserve">Are there engineering or design resources available to build or update a prototype if needed?</t>
  </si>
  <si>
    <t xml:space="preserve">Is there anything else we should know — anything unusual about the product, the users, or the context that might affect how we design this study?</t>
  </si>
  <si>
    <t xml:space="preserve">After the Study</t>
  </si>
  <si>
    <t xml:space="preserve">Who owns the findings after delivery — who is responsible for tracking what gets acted on?</t>
  </si>
  <si>
    <t xml:space="preserve">Would you like a follow-up session after the report to work through prioritisation of issues?</t>
  </si>
  <si>
    <t xml:space="preserve">Is there appetite for a longitudinal component — re-testing after fixes are made to measure improvement?</t>
  </si>
  <si>
    <t xml:space="preserve">Should we maintain a research repository of findings, or will you be handling that on your side?</t>
  </si>
  <si>
    <t xml:space="preserve">FACILITATOR TIPS FOR THE KICKOFF MEETING</t>
  </si>
  <si>
    <t xml:space="preserve">1. Start with goals, not tasks. Stakeholders often jump straight to 'we want to test X feature' — gently redirect to 'what decision does that help you make?'</t>
  </si>
  <si>
    <t xml:space="preserve">2. The most revealing questions are often the uncomfortable ones: what are you worried we'll find, and have past research findings actually been acted on?</t>
  </si>
  <si>
    <t xml:space="preserve">3. If stakeholders can't agree on the #1 priority question, that's a signal — surface the disagreement early rather than letting it derail the study later.</t>
  </si>
  <si>
    <t xml:space="preserve">4. Push back on unrealistic timelines. A rushed screener or underprepared prototype costs more time than it saves.</t>
  </si>
  <si>
    <t xml:space="preserve">5. Clarify who can approve things. If three people need to sign off on the discussion guide, build that into your timeline from day one.</t>
  </si>
  <si>
    <t xml:space="preserve">USABILITY TEST PLAN · Summary Dashboard</t>
  </si>
  <si>
    <t xml:space="preserve">Auto-calculated metrics pulled from the Data tab. Fill in Data tab first.</t>
  </si>
  <si>
    <t xml:space="preserve">TASK COMPLETION RATES (by Success Code)</t>
  </si>
  <si>
    <t xml:space="preserve">Metric</t>
  </si>
  <si>
    <t xml:space="preserve">Task 1</t>
  </si>
  <si>
    <t xml:space="preserve">Task 2</t>
  </si>
  <si>
    <t xml:space="preserve">Task 3</t>
  </si>
  <si>
    <t xml:space="preserve">Task 4</t>
  </si>
  <si>
    <t xml:space="preserve">Task 5</t>
  </si>
  <si>
    <t xml:space="preserve">Success</t>
  </si>
  <si>
    <t xml:space="preserve">⚠ Partial Fail</t>
  </si>
  <si>
    <t xml:space="preserve">Fail</t>
  </si>
  <si>
    <t xml:space="preserve">⏱ Time Limit</t>
  </si>
  <si>
    <t xml:space="preserve">Give Up</t>
  </si>
  <si>
    <t xml:space="preserve">Technical Issues</t>
  </si>
  <si>
    <t xml:space="preserve">Other</t>
  </si>
  <si>
    <t xml:space="preserve">Total Recorded</t>
  </si>
  <si>
    <t xml:space="preserve">Success Rate</t>
  </si>
  <si>
    <t xml:space="preserve">TOP-LEVEL FINDINGS SUMMARY</t>
  </si>
  <si>
    <t xml:space="preserve">Most Critical Issue</t>
  </si>
  <si>
    <t xml:space="preserve">Most Impacted Task</t>
  </si>
  <si>
    <t xml:space="preserve">Overall Success Rate</t>
  </si>
  <si>
    <t xml:space="preserve">Key Recommendation 1</t>
  </si>
  <si>
    <t xml:space="preserve">Key Recommendation 2</t>
  </si>
  <si>
    <t xml:space="preserve">Key Recommendation 3</t>
  </si>
  <si>
    <t xml:space="preserve">Follow-up Questions</t>
  </si>
  <si>
    <t xml:space="preserve">Next Steps</t>
  </si>
  <si>
    <t xml:space="preserve">USABILITY TEST PLAN · Study Goals</t>
  </si>
  <si>
    <t xml:space="preserve">Define the objectives for this usability study and how each goal will be measured.</t>
  </si>
  <si>
    <t xml:space="preserve">STUDY METADATA</t>
  </si>
  <si>
    <t xml:space="preserve">Study Title</t>
  </si>
  <si>
    <t xml:space="preserve">Product / Feature</t>
  </si>
  <si>
    <t xml:space="preserve">Research Lead</t>
  </si>
  <si>
    <t xml:space="preserve">Date(s) of Testing</t>
  </si>
  <si>
    <t xml:space="preserve">STUDY GOALS</t>
  </si>
  <si>
    <t xml:space="preserve">#</t>
  </si>
  <si>
    <t xml:space="preserve">Research Goal</t>
  </si>
  <si>
    <t xml:space="preserve">Why It Matters</t>
  </si>
  <si>
    <t xml:space="preserve">How It Will Be Measured</t>
  </si>
  <si>
    <t xml:space="preserve">Priority</t>
  </si>
  <si>
    <t xml:space="preserve">1</t>
  </si>
  <si>
    <t xml:space="preserve">Identify usability issues in the main task flow</t>
  </si>
  <si>
    <t xml:space="preserve">Core functionality must be intuitive for users</t>
  </si>
  <si>
    <t xml:space="preserve">Usability issues found; time on task</t>
  </si>
  <si>
    <t xml:space="preserve">High</t>
  </si>
  <si>
    <t xml:space="preserve">2</t>
  </si>
  <si>
    <t xml:space="preserve">Assess learnability for first-time users</t>
  </si>
  <si>
    <t xml:space="preserve">Product targets non-technical audience</t>
  </si>
  <si>
    <t xml:space="preserve">Task success rate; qualitative feedback</t>
  </si>
  <si>
    <t xml:space="preserve">3</t>
  </si>
  <si>
    <t xml:space="preserve">Evaluate satisfaction with UI language &amp; labels</t>
  </si>
  <si>
    <t xml:space="preserve">Confusing labels increase support load</t>
  </si>
  <si>
    <t xml:space="preserve">Verbal think-aloud; post-task ratings</t>
  </si>
  <si>
    <t xml:space="preserve">Medium</t>
  </si>
  <si>
    <t xml:space="preserve">4</t>
  </si>
  <si>
    <t xml:space="preserve">Benchmark task completion time</t>
  </si>
  <si>
    <t xml:space="preserve">Establishes baseline for future tests</t>
  </si>
  <si>
    <t xml:space="preserve">Time on task per scenario</t>
  </si>
  <si>
    <t xml:space="preserve">5</t>
  </si>
  <si>
    <t xml:space="preserve">MEASUREMENT METHODS · Reference</t>
  </si>
  <si>
    <t xml:space="preserve">Description</t>
  </si>
  <si>
    <t xml:space="preserve">When to Use</t>
  </si>
  <si>
    <t xml:space="preserve">Time on Task</t>
  </si>
  <si>
    <t xml:space="preserve">Clock time from task start to end (success or stop)</t>
  </si>
  <si>
    <t xml:space="preserve">Efficiency benchmarking; identifying slow flows</t>
  </si>
  <si>
    <t xml:space="preserve">Task Success Rate</t>
  </si>
  <si>
    <t xml:space="preserve">% of participants who complete task successfully</t>
  </si>
  <si>
    <t xml:space="preserve">Core usability health metric</t>
  </si>
  <si>
    <t xml:space="preserve">Error Rate</t>
  </si>
  <si>
    <t xml:space="preserve"># of errors / incorrect actions per task attempt</t>
  </si>
  <si>
    <t xml:space="preserve">Identifying misleading UI elements</t>
  </si>
  <si>
    <t xml:space="preserve">Think-Aloud Feedback</t>
  </si>
  <si>
    <t xml:space="preserve">Verbal commentary captured during the session</t>
  </si>
  <si>
    <t xml:space="preserve">Understanding mental models &amp; confusion points</t>
  </si>
  <si>
    <t xml:space="preserve">Post-Task Rating</t>
  </si>
  <si>
    <t xml:space="preserve">Participant self-report on ease (e.g. SEQ 1–7)</t>
  </si>
  <si>
    <t xml:space="preserve">Perceived difficulty vs observed difficulty</t>
  </si>
  <si>
    <t xml:space="preserve">Post-Study Questionnaire</t>
  </si>
  <si>
    <t xml:space="preserve">SUS, UMUX-Lite, or custom satisfaction survey</t>
  </si>
  <si>
    <t xml:space="preserve">Overall satisfaction &amp; benchmarking</t>
  </si>
  <si>
    <t xml:space="preserve">USABILITY TEST PLAN · Tasks &amp; Scenarios</t>
  </si>
  <si>
    <t xml:space="preserve">Define each task scenario, the starting state, success criteria, and researcher notes.</t>
  </si>
  <si>
    <t xml:space="preserve">Task #</t>
  </si>
  <si>
    <t xml:space="preserve">Task Title</t>
  </si>
  <si>
    <t xml:space="preserve">Task Text (shown to participant)</t>
  </si>
  <si>
    <t xml:space="preserve">Success Criteria</t>
  </si>
  <si>
    <t xml:space="preserve">Starting State / Pre-conditions</t>
  </si>
  <si>
    <t xml:space="preserve">Time Limit
(mm:ss)</t>
  </si>
  <si>
    <t xml:space="preserve">Difficulty
Estimate</t>
  </si>
  <si>
    <t xml:space="preserve">Researcher Notes</t>
  </si>
  <si>
    <t xml:space="preserve">T1</t>
  </si>
  <si>
    <t xml:space="preserve">Find a product</t>
  </si>
  <si>
    <t xml:space="preserve">Starting from the homepage, find the product called "[Product Name]" and add it to your cart.</t>
  </si>
  <si>
    <t xml:space="preserve">Participant adds correct item to cart</t>
  </si>
  <si>
    <t xml:space="preserve">Logged-out homepage</t>
  </si>
  <si>
    <t xml:space="preserve">03:00</t>
  </si>
  <si>
    <t xml:space="preserve">Easy</t>
  </si>
  <si>
    <t xml:space="preserve">T2</t>
  </si>
  <si>
    <t xml:space="preserve">Create an account</t>
  </si>
  <si>
    <t xml:space="preserve">Please create a new account using your email address.</t>
  </si>
  <si>
    <t xml:space="preserve">Account created; confirmation screen shown</t>
  </si>
  <si>
    <t xml:space="preserve">Homepage, logged out</t>
  </si>
  <si>
    <t xml:space="preserve">05:00</t>
  </si>
  <si>
    <t xml:space="preserve">Watch for confusion on password rules</t>
  </si>
  <si>
    <t xml:space="preserve">T3</t>
  </si>
  <si>
    <t xml:space="preserve">Update profile</t>
  </si>
  <si>
    <t xml:space="preserve">You have just logged in. Please update your display name to 'Test User'.</t>
  </si>
  <si>
    <t xml:space="preserve">Display name updated and saved</t>
  </si>
  <si>
    <t xml:space="preserve">Logged-in dashboard</t>
  </si>
  <si>
    <t xml:space="preserve">02:00</t>
  </si>
  <si>
    <t xml:space="preserve">T4</t>
  </si>
  <si>
    <t xml:space="preserve">Complete checkout</t>
  </si>
  <si>
    <t xml:space="preserve">Please complete the purchase of the item in your cart.</t>
  </si>
  <si>
    <t xml:space="preserve">Order confirmation page reached</t>
  </si>
  <si>
    <t xml:space="preserve">Cart with 1 item</t>
  </si>
  <si>
    <t xml:space="preserve">Hard</t>
  </si>
  <si>
    <t xml:space="preserve">Note any payment form issues</t>
  </si>
  <si>
    <t xml:space="preserve">T5</t>
  </si>
  <si>
    <t xml:space="preserve">Find order history</t>
  </si>
  <si>
    <t xml:space="preserve">You placed an order last week. Please find that order and check its current status.</t>
  </si>
  <si>
    <t xml:space="preserve">Order status page viewed</t>
  </si>
  <si>
    <t xml:space="preserve">Logged-in account</t>
  </si>
  <si>
    <t xml:space="preserve">FACILITATOR SCRIPT GUIDE</t>
  </si>
  <si>
    <t xml:space="preserve">Introduction</t>
  </si>
  <si>
    <t xml:space="preserve">Welcome the participant, explain the think-aloud protocol, and clarify that you are testing the product, not them. Obtain consent.</t>
  </si>
  <si>
    <t xml:space="preserve">Warm-up</t>
  </si>
  <si>
    <t xml:space="preserve">Ask 2–3 background questions (e.g. device usage habits) to ease the participant in before tasks begin.</t>
  </si>
  <si>
    <t xml:space="preserve">Task Delivery</t>
  </si>
  <si>
    <t xml:space="preserve">Read each task aloud and hand the participant the printed/on-screen task card. Do not answer navigational questions — redirect: 'What would you do if I weren't here?'</t>
  </si>
  <si>
    <t xml:space="preserve">Wrap-up</t>
  </si>
  <si>
    <t xml:space="preserve">Administer post-study questionnaire. Ask any debrief questions. Thank the participant and explain next steps.</t>
  </si>
  <si>
    <t xml:space="preserve">USABILITY TEST PLAN · Participants</t>
  </si>
  <si>
    <t xml:space="preserve">Section A: Define screening criteria. Section B: Record recruited participant details.</t>
  </si>
  <si>
    <t xml:space="preserve">SECTION A · Desired Participant Profile &amp; Screening Criteria</t>
  </si>
  <si>
    <t xml:space="preserve">Target User Group</t>
  </si>
  <si>
    <t xml:space="preserve">Primary users of the product; existing customers or qualified prospects</t>
  </si>
  <si>
    <t xml:space="preserve">Age Range</t>
  </si>
  <si>
    <t xml:space="preserve">18–55</t>
  </si>
  <si>
    <t xml:space="preserve">Tech Proficiency</t>
  </si>
  <si>
    <t xml:space="preserve">Comfortable using smartphones and web browsers; not IT professionals</t>
  </si>
  <si>
    <t xml:space="preserve">Device Requirement</t>
  </si>
  <si>
    <t xml:space="preserve">Must own and regularly use a smartphone (iOS or Android)</t>
  </si>
  <si>
    <t xml:space="preserve">Language</t>
  </si>
  <si>
    <t xml:space="preserve">English (native or fluent)</t>
  </si>
  <si>
    <t xml:space="preserve">Location</t>
  </si>
  <si>
    <t xml:space="preserve">Canada or United States</t>
  </si>
  <si>
    <t xml:space="preserve">Exclusion Criteria</t>
  </si>
  <si>
    <t xml:space="preserve">Employees of [Company]; anyone who has participated in a test in last 6 months</t>
  </si>
  <si>
    <t xml:space="preserve">Sample Size</t>
  </si>
  <si>
    <t xml:space="preserve">10 participants (minimum 5 for qualitative saturation)</t>
  </si>
  <si>
    <t xml:space="preserve">Incentive</t>
  </si>
  <si>
    <t xml:space="preserve">$XX gift card or equivalent</t>
  </si>
  <si>
    <t xml:space="preserve">SECTION B · Recruited Participant Details</t>
  </si>
  <si>
    <t xml:space="preserve">P #</t>
  </si>
  <si>
    <t xml:space="preserve">Name / Code</t>
  </si>
  <si>
    <t xml:space="preserve">Age</t>
  </si>
  <si>
    <t xml:space="preserve">Country</t>
  </si>
  <si>
    <t xml:space="preserve">Device Type</t>
  </si>
  <si>
    <t xml:space="preserve">OS</t>
  </si>
  <si>
    <t xml:space="preserve">Recruited By</t>
  </si>
  <si>
    <t xml:space="preserve">Session Date &amp; Time</t>
  </si>
  <si>
    <t xml:space="preserve">Notes</t>
  </si>
  <si>
    <t xml:space="preserve">P01</t>
  </si>
  <si>
    <t xml:space="preserve">P02</t>
  </si>
  <si>
    <t xml:space="preserve">P03</t>
  </si>
  <si>
    <t xml:space="preserve">P04</t>
  </si>
  <si>
    <t xml:space="preserve">P05</t>
  </si>
  <si>
    <t xml:space="preserve">P06</t>
  </si>
  <si>
    <t xml:space="preserve">P07</t>
  </si>
  <si>
    <t xml:space="preserve">P08</t>
  </si>
  <si>
    <t xml:space="preserve">P09</t>
  </si>
  <si>
    <t xml:space="preserve">P10</t>
  </si>
  <si>
    <t xml:space="preserve">P11</t>
  </si>
  <si>
    <t xml:space="preserve">USABILITY TEST PLAN · Session Data</t>
  </si>
  <si>
    <t xml:space="preserve">Record each participant's performance per task. Use the Success Code dropdown for outcome classification.</t>
  </si>
  <si>
    <t xml:space="preserve">TASK 1</t>
  </si>
  <si>
    <t xml:space="preserve">TASK 2</t>
  </si>
  <si>
    <t xml:space="preserve">TASK 3</t>
  </si>
  <si>
    <t xml:space="preserve">TASK 4</t>
  </si>
  <si>
    <t xml:space="preserve">TASK 5</t>
  </si>
  <si>
    <t xml:space="preserve">Time
on Task</t>
  </si>
  <si>
    <t xml:space="preserve">Success
Code</t>
  </si>
  <si>
    <t xml:space="preserve">Observations / Notes</t>
  </si>
  <si>
    <t xml:space="preserve">SUCCESS CODE LEGEND</t>
  </si>
  <si>
    <t xml:space="preserve">Participant completed the task fully and correctly within the time limit.</t>
  </si>
  <si>
    <t xml:space="preserve">Partial Fail</t>
  </si>
  <si>
    <t xml:space="preserve">Participant completed the task but with significant errors, help, or workarounds.</t>
  </si>
  <si>
    <t xml:space="preserve">Participant did not complete the task and gave an incorrect outcome.</t>
  </si>
  <si>
    <t xml:space="preserve">Time Limit</t>
  </si>
  <si>
    <t xml:space="preserve">Participant ran out of time before completing the task.</t>
  </si>
  <si>
    <t xml:space="preserve">Participant abandoned the task of their own volition.</t>
  </si>
  <si>
    <t xml:space="preserve">Session interrupted by a technical problem unrelated to the participant.</t>
  </si>
  <si>
    <t xml:space="preserve">Does not fit any other category. Add details in Observations.</t>
  </si>
  <si>
    <t xml:space="preserve">USABILITY TEST PLAN · Analysis &amp; Recommendations</t>
  </si>
  <si>
    <t xml:space="preserve">Synthesize findings per task. Identify key issues, severity, and actionable recommendations.</t>
  </si>
  <si>
    <t xml:space="preserve">Analysis Dimension</t>
  </si>
  <si>
    <t xml:space="preserve">Key Usability Issues Observed</t>
  </si>
  <si>
    <t xml:space="preserve">List specific problems seen across participants.</t>
  </si>
  <si>
    <t xml:space="preserve">Frequency</t>
  </si>
  <si>
    <t xml:space="preserve">Severity</t>
  </si>
  <si>
    <t xml:space="preserve">Root Cause (Hypothesis)</t>
  </si>
  <si>
    <t xml:space="preserve">Supporting Quotes / Observations</t>
  </si>
  <si>
    <t xml:space="preserve">Recommendations</t>
  </si>
  <si>
    <t xml:space="preserve">Priority for Fix</t>
  </si>
  <si>
    <t xml:space="preserve">Effort Estimate</t>
  </si>
  <si>
    <t xml:space="preserve">Additional Notes</t>
  </si>
  <si>
    <t xml:space="preserve">SEVERITY RATING GUIDE</t>
  </si>
  <si>
    <t xml:space="preserve">Definition</t>
  </si>
  <si>
    <t xml:space="preserve">Frequency Threshold</t>
  </si>
  <si>
    <t xml:space="preserve">Recommended Action</t>
  </si>
  <si>
    <t xml:space="preserve">Critical</t>
  </si>
  <si>
    <t xml:space="preserve">Prevents task completion; user cannot proceed</t>
  </si>
  <si>
    <t xml:space="preserve">≥ 50% of participants</t>
  </si>
  <si>
    <t xml:space="preserve">Fix before launch</t>
  </si>
  <si>
    <t xml:space="preserve">Causes significant struggle; workaround is painful</t>
  </si>
  <si>
    <t xml:space="preserve">≥ 30% of participants</t>
  </si>
  <si>
    <t xml:space="preserve">Fix in next sprint</t>
  </si>
  <si>
    <t xml:space="preserve">Causes confusion or delay but task is completable</t>
  </si>
  <si>
    <t xml:space="preserve">≥ 20% of participants</t>
  </si>
  <si>
    <t xml:space="preserve">Schedule for roadmap</t>
  </si>
  <si>
    <t xml:space="preserve">Low</t>
  </si>
  <si>
    <t xml:space="preserve">Minor annoyance; cosmetic or edge-case issue</t>
  </si>
  <si>
    <t xml:space="preserve">&lt; 20% of participants</t>
  </si>
  <si>
    <t xml:space="preserve">Backlog / nice-to-have</t>
  </si>
  <si>
    <t xml:space="preserve">  HELP &amp; GUIDANCE  ·  Best Practices for Usability Testing</t>
  </si>
  <si>
    <t xml:space="preserve">  A reference guide for each phase of your usability test — practical tips and curated external reading.</t>
  </si>
  <si>
    <t xml:space="preserve">  All links open in your browser. Tip: use Ctrl+Click (Windows) or Cmd+Click (Mac) to follow hyperlinks in Excel.</t>
  </si>
  <si>
    <t xml:space="preserve">  Running an Effective Kickoff Meeting</t>
  </si>
  <si>
    <t xml:space="preserve">  Corresponds to: Kickoff Questions tab</t>
  </si>
  <si>
    <t xml:space="preserve">  Practical Guidelines</t>
  </si>
  <si>
    <t xml:space="preserve">  Further Reading</t>
  </si>
  <si>
    <t xml:space="preserve">1.  Start with the decision, not the feature
Before diving into tasks to test, anchor the whole conversation on what decision this research will inform. If stakeholders can't name one, that is the first problem to solve.</t>
  </si>
  <si>
    <t xml:space="preserve">NNG: Stakeholder Buy-In for UX Research</t>
  </si>
  <si>
    <t xml:space="preserve">2.  Send questions in advance
Share the kickoff question list 48 hours early. Stakeholders arrive better prepared, meetings run shorter, and you get more considered answers rather than reactive ones.</t>
  </si>
  <si>
    <t xml:space="preserve">NNG: Research Learning Spirals</t>
  </si>
  <si>
    <t xml:space="preserve">3.  Surface disagreements early
If the room can't agree on the top priority research question, document both views rather than forcing false consensus. Unresolved disagreements surface during analysis — better to name them now.</t>
  </si>
  <si>
    <t xml:space="preserve">UX Collective: Aligning Stakeholders</t>
  </si>
  <si>
    <t xml:space="preserve">4.  Ask 'what would change your mind?'
For each goal, ask stakeholders what evidence would cause them to change course. This reveals which questions are genuinely open and which are fishing for validation.</t>
  </si>
  <si>
    <t xml:space="preserve">Maze: Research Ops Handbook</t>
  </si>
  <si>
    <t xml:space="preserve">5.  Clarify sign-off chains before you leave
Confirm who approves the screener, discussion guide, and final report — and in what order. A missing approval can delay fieldwork by weeks.</t>
  </si>
  <si>
    <t xml:space="preserve">ResearchOps Community</t>
  </si>
  <si>
    <t xml:space="preserve">6.  Record or take structured notes
Assign a dedicated note-taker so the facilitator can stay focused. Review notes within 24 hours while memory is fresh and send a summary back to stakeholders to confirm alignment.</t>
  </si>
  <si>
    <t xml:space="preserve">NNG: Documenting UX Research</t>
  </si>
  <si>
    <t xml:space="preserve">  Pro tip: The most revealing kickoff question is often 'What are you worried we might find?' — it surfaces assumptions worth testing and builds trust by showing you are not just there to confirm what stakeholders already believe.</t>
  </si>
  <si>
    <t xml:space="preserve">  Defining Effective Study Goals</t>
  </si>
  <si>
    <t xml:space="preserve">  Corresponds to: Study Goals tab</t>
  </si>
  <si>
    <t xml:space="preserve">1.  Distinguish research goals from business goals
A business goal is 'reduce churn'. A research goal is 'understand why users abandon the onboarding flow after step 3'. Usability tests answer research questions, not business metrics directly.</t>
  </si>
  <si>
    <t xml:space="preserve">NNG: Research Questions vs. Business Goals</t>
  </si>
  <si>
    <t xml:space="preserve">2.  Limit yourself to 3-5 goals per study
More than five goals usually means the study is trying to do too much. Prioritise ruthlessly. A focused study with clear answers is worth far more than a sprawling one with ambiguous takeaways.</t>
  </si>
  <si>
    <t xml:space="preserve">Usability.gov: Planning a Usability Test</t>
  </si>
  <si>
    <t xml:space="preserve">3.  Write goals as questions, not statements
'Evaluate the checkout flow' is a topic. 'Can users complete a purchase without assistance in under 4 minutes?' is a testable goal. The question form forces you to think about what evidence you need.</t>
  </si>
  <si>
    <t xml:space="preserve">IxDF: Formulating UX Research Goals</t>
  </si>
  <si>
    <t xml:space="preserve">4.  Pair every goal with a measurement method
For each goal, define up front how you will know if it has been met — task success rate, time on task, error count, qualitative theme, or a scale score. Unmeasured goals are just intentions.</t>
  </si>
  <si>
    <t xml:space="preserve">NNG: Measuring Usability</t>
  </si>
  <si>
    <t xml:space="preserve">5.  Include at least one benchmarking goal if re-testing
If this is not the first test of the product, carry over at least one metric from the previous study. Trend data is far more persuasive with engineering and product leadership than a single snapshot.</t>
  </si>
  <si>
    <t xml:space="preserve">NNG: Benchmarking UX</t>
  </si>
  <si>
    <t xml:space="preserve">6.  Get stakeholder sign-off on goals before writing tasks
Goals drive task selection. If goals shift after tasks are written, you may have to rewrite the entire discussion guide. Locking goals early is the highest-leverage step in the planning phase.</t>
  </si>
  <si>
    <t xml:space="preserve">UX Research Field Guide (Dovetail)</t>
  </si>
  <si>
    <t xml:space="preserve">  Common mistake: writing goals that are really just a list of features to evaluate ('test the navigation, the search, and the filters'). Push back by asking: what decision will that information inform?</t>
  </si>
  <si>
    <t xml:space="preserve">  Writing Strong Test Tasks</t>
  </si>
  <si>
    <t xml:space="preserve">  Corresponds to: Tasks tab</t>
  </si>
  <si>
    <t xml:space="preserve">1.  Use scenario framing, not instructions
Instead of 'Click on the profile menu and change your name', write 'You have just moved. Please update your account to reflect your new address.' Scenarios activate realistic mental models.</t>
  </si>
  <si>
    <t xml:space="preserve">NNG: Writing Usability Test Tasks</t>
  </si>
  <si>
    <t xml:space="preserve">2.  Never embed the answer in the task
Avoid using the exact UI label in the task wording. If the button says 'Manage Subscription', don't write 'Find the Manage Subscription button'. This tests recognition, not usability.</t>
  </si>
  <si>
    <t xml:space="preserve">NNG: Priming in Usability Testing</t>
  </si>
  <si>
    <t xml:space="preserve">3.  Make tasks realistic and specific
Vague tasks ('explore the site') produce vague data. Ground each task in a concrete goal a real user would have: a product to find, an amount to enter, a form to submit.</t>
  </si>
  <si>
    <t xml:space="preserve">Usability.gov: Task Development</t>
  </si>
  <si>
    <t xml:space="preserve">4.  Pilot every task before fieldwork
Run each task with one internal colleague who matches the participant profile. You will immediately find ambiguous wording, missing pre-conditions, and tasks that are too long.</t>
  </si>
  <si>
    <t xml:space="preserve">NNG: Pilot Testing</t>
  </si>
  <si>
    <t xml:space="preserve">5.  Set a realistic time limit per task
Time limits keep sessions on schedule and provide a natural stopping condition. A common rule of thumb: if a task takes longer than 5 minutes in a pilot, either simplify it or split it in two.</t>
  </si>
  <si>
    <t xml:space="preserve">Maze: Usability Test Structure</t>
  </si>
  <si>
    <t xml:space="preserve">6.  Sequence tasks to mirror real user journeys
Where possible, order tasks so they follow a logical progression (e.g., search then view then purchase). Artificial task sequences can confuse participants and create carry-over effects.</t>
  </si>
  <si>
    <t xml:space="preserve">IxDF: Test Task Sequencing</t>
  </si>
  <si>
    <t xml:space="preserve">  A useful self-check: read the task aloud and ask yourself whether a participant could succeed without ever finding the UI element you intended. If yes, the task is too open-ended. If the only path is the one you designed, it may be too narrow.</t>
  </si>
  <si>
    <t xml:space="preserve">  Recruitment &amp; Participant Selection</t>
  </si>
  <si>
    <t xml:space="preserve">  Corresponds to: Participants tab</t>
  </si>
  <si>
    <t xml:space="preserve">1.  Define screener criteria from your research goals
Work backwards from your goals: what must be true about a participant for their data to be valid? List must-haves (e.g., active smartphone user) and nice-to-haves separately to avoid over-constraining recruitment.</t>
  </si>
  <si>
    <t xml:space="preserve">NNG: Recruiting Usability Participants</t>
  </si>
  <si>
    <t xml:space="preserve">2.  5 participants reveal ~85% of usability issues
Nielsen's original finding still holds for qualitative discovery studies. For quantitative benchmarking or multiple distinct user groups, sample sizes of 20+ are more appropriate.</t>
  </si>
  <si>
    <t xml:space="preserve">NNG: How Many Test Users?</t>
  </si>
  <si>
    <t xml:space="preserve">3.  Recruit 20% more participants than you need
No-shows, late cancellations, and disqualifications are common. Buffer your recruitment target accordingly. For 10 sessions, recruit at least 12 and confirm the day before.</t>
  </si>
  <si>
    <t xml:space="preserve">UserZoom: Recruiting for Research</t>
  </si>
  <si>
    <t xml:space="preserve">4.  Spread sessions across different times of day
If recruiting working professionals, morning-only slots will bias your sample toward certain roles. Offer morning, midday, and afternoon options to maximise diversity.</t>
  </si>
  <si>
    <t xml:space="preserve">Dovetail: Recruitment Best Practices</t>
  </si>
  <si>
    <t xml:space="preserve">5.  Avoid friends, family, and colleagues
People who know the product team are less likely to give candid feedback and more likely to be forgiving of issues. Use external panels, CRM outreach, or intercept recruiting instead.</t>
  </si>
  <si>
    <t xml:space="preserve">NNG: Participant Selection</t>
  </si>
  <si>
    <t xml:space="preserve">6.  Document no-shows and replacements
Track who was recruited, who attended, and why anyone was excluded. This data protects you if stakeholders later question the representativeness of your sample.</t>
  </si>
  <si>
    <t xml:space="preserve">ResearchOps: Participant Management</t>
  </si>
  <si>
    <t xml:space="preserve">  Screener design tip: include one or two disqualifying questions that participants cannot easily game. For example, instead of asking 'Do you shop online?' (everyone says yes), ask how many online purchases they made in the last month.</t>
  </si>
  <si>
    <t xml:space="preserve">  Collecting &amp; Recording Session Data</t>
  </si>
  <si>
    <t xml:space="preserve">  Corresponds to: Data tab</t>
  </si>
  <si>
    <t xml:space="preserve">1.  Use the success codes consistently across all sessions
Brief all observers before the first session on exactly what constitutes Success vs. Partial Fail vs. Give Up. Inconsistent coding makes cross-participant comparisons unreliable.</t>
  </si>
  <si>
    <t xml:space="preserve">NNG: Scoring Usability Tests</t>
  </si>
  <si>
    <t xml:space="preserve">2.  Capture observations in real time, not from memory
Note verbatim quotes, specific UI elements that caused confusion, and exact moments of hesitation. Reconstructed notes written after the session lose the critical details.</t>
  </si>
  <si>
    <t xml:space="preserve">NNG: Note-taking During Testing</t>
  </si>
  <si>
    <t xml:space="preserve">3.  Record time-on-task from task read to final action
Start the clock when the participant finishes reading the task aloud (not when you finish reading it to them). Stop the clock at the moment of completion or abandonment.</t>
  </si>
  <si>
    <t xml:space="preserve">Usability.gov: Time on Task</t>
  </si>
  <si>
    <t xml:space="preserve">4.  Assign separate observers for note-taking and tech
The session facilitator should never also be managing the recording software. A second person handling logistics lets the facilitator stay fully present in the conversation.</t>
  </si>
  <si>
    <t xml:space="preserve">NNG: Observers in Usability Studies</t>
  </si>
  <si>
    <t xml:space="preserve">5.  Log technical issues immediately as they happen
Use the 'Technical Issues' code and note the exact symptom in Observations. A pattern of technical issues across participants may indicate a prototype bug or environmental problem, not a user error.</t>
  </si>
  <si>
    <t xml:space="preserve">Maze: Remote Testing Setup</t>
  </si>
  <si>
    <t xml:space="preserve">6.  Debrief observers after each session
A 5-minute debrief immediately after each session lets the team align on key observations while memory is fresh. This also prevents one vocal observer from dominating synthesis.</t>
  </si>
  <si>
    <t xml:space="preserve">NNG: Debrief Sessions</t>
  </si>
  <si>
    <t xml:space="preserve">  A note on 'Partial Fail': resist the temptation to be generous with this code. If the participant completed the task but required more than two redirects, significant backtracking, or help from the facilitator, that is a meaningful finding — not a partial success.</t>
  </si>
  <si>
    <t xml:space="preserve">  Analysing &amp; Synthesising Findings</t>
  </si>
  <si>
    <t xml:space="preserve">  Corresponds to: Analysis tab</t>
  </si>
  <si>
    <t xml:space="preserve">1.  Use affinity diagramming to cluster observations
After sessions end, write each observation on a separate sticky note (physical or digital) and cluster them by theme. Patterns that emerge from the data are more credible than patterns you went looking for.</t>
  </si>
  <si>
    <t xml:space="preserve">NNG: Affinity Diagramming</t>
  </si>
  <si>
    <t xml:space="preserve">2.  Calculate task success rate as your headline metric
Success rate = (number of successful completions) / (total attempts). Report it per task and overall. Even stakeholders unfamiliar with UX research immediately understand a percentage.</t>
  </si>
  <si>
    <t xml:space="preserve">NNG: Success Rate Metrics</t>
  </si>
  <si>
    <t xml:space="preserve">3.  Rate severity before prioritising recommendations
Use the four-point severity scale (Critical / High / Medium / Low) defined in this tab. Issues that block task completion are always Critical regardless of how infrequently they occur.</t>
  </si>
  <si>
    <t xml:space="preserve">NNG: Severity Ratings</t>
  </si>
  <si>
    <t xml:space="preserve">4.  Separate observation from inference
In your notes, clearly distinguish what you observed ('participant clicked the wrong button three times') from what you infer ('the icon is ambiguous'). Both are valuable but should not be conflated.</t>
  </si>
  <si>
    <t xml:space="preserve">IxDF: Usability Analysis Methods</t>
  </si>
  <si>
    <t xml:space="preserve">5.  Invite stakeholders into synthesis, not just readout
An analysis workshop where product and design team members help cluster findings produces stronger buy-in than a polished report delivered cold. People support findings they helped discover.</t>
  </si>
  <si>
    <t xml:space="preserve">NNG: Collaborative Analysis</t>
  </si>
  <si>
    <t xml:space="preserve">6.  Tie every recommendation to a specific observation
Every 'we recommend X' should reference 'because we observed Y in N/10 sessions'. Unanchored recommendations feel like opinions; anchored ones feel like evidence.</t>
  </si>
  <si>
    <t xml:space="preserve">Dovetail: Communicating Research</t>
  </si>
  <si>
    <t xml:space="preserve">  Avoid the 'laundry list' report — a 40-item issue log where everything is Medium severity. Stakeholders cannot act on everything at once. Force a ranking: what are the three issues that, if fixed, would most improve task success rates?</t>
  </si>
  <si>
    <t xml:space="preserve">  Reporting &amp; Presenting Findings</t>
  </si>
  <si>
    <t xml:space="preserve">  Corresponds to: Summary / Dashboard tab</t>
  </si>
  <si>
    <t xml:space="preserve">1.  Lead with the decision, not the methodology
Stakeholders care about what to do next. Open with your top three findings and recommendations. Save sample size, session format, and task design for the appendix.</t>
  </si>
  <si>
    <t xml:space="preserve">NNG: Communicating Research Findings</t>
  </si>
  <si>
    <t xml:space="preserve">2.  Show, don't just tell — use session clips
A 60-second video clip of a participant struggling with a flow is more persuasive than any bar chart. Obtain consent during recruitment and keep a library of clipped moments.</t>
  </si>
  <si>
    <t xml:space="preserve">NNG: Highlight Reels</t>
  </si>
  <si>
    <t xml:space="preserve">3.  Distinguish findings from recommendations
A finding is neutral: 'Seven of ten participants could not locate the settings menu.' A recommendation is actionable: 'Move settings into the main navigation bar.' Mixing them muddies both.</t>
  </si>
  <si>
    <t xml:space="preserve">UX Collective: Writing Research Reports</t>
  </si>
  <si>
    <t xml:space="preserve">4.  Include a one-page executive summary
Senior stakeholders may not read the full report. A single page with overall success rate, the top three issues, and the top three recommendations ensures the most important information gets through.</t>
  </si>
  <si>
    <t xml:space="preserve">NNG: Executive Summaries for Research</t>
  </si>
  <si>
    <t xml:space="preserve">5.  Track findings in a research repository
Log findings with tags for product area, participant type, and date. Over time, a repository reveals patterns across multiple studies and prevents the same issues from being 'discovered' repeatedly.</t>
  </si>
  <si>
    <t xml:space="preserve">Dovetail: Building a Research Repository</t>
  </si>
  <si>
    <t xml:space="preserve">6.  Close the loop with a follow-up check-in
Schedule a 30-minute check-in 4-6 weeks after the report is delivered to review which recommendations were implemented. This builds accountability and makes the case for continued investment in research.</t>
  </si>
  <si>
    <t xml:space="preserve">  A practical delivery format: share the written report 48 hours before the readout meeting so stakeholders can read it in advance. Use the meeting itself for discussion and prioritisation, not for walking through slides line by line.</t>
  </si>
  <si>
    <t xml:space="preserve">  General Usability Testing Resources</t>
  </si>
  <si>
    <t xml:space="preserve">  Curated references to deepen your practice</t>
  </si>
  <si>
    <t xml:space="preserve">  Resource</t>
  </si>
  <si>
    <t xml:space="preserve">  What It Covers</t>
  </si>
  <si>
    <t xml:space="preserve">The most comprehensive freely available resource on usability testing. Search any specific topic — screener writing, task design, analysis, reporting — and you will find a rigorous, evidence-based article.</t>
  </si>
  <si>
    <t xml:space="preserve">Nielsen Norman Group (nngroup.com)</t>
  </si>
  <si>
    <t xml:space="preserve">US government-produced guidance covering the full usability testing lifecycle. Practical, jargon-free, and well-structured for practitioners at any level.</t>
  </si>
  <si>
    <t xml:space="preserve">Usability.gov — How-To &amp; Tools</t>
  </si>
  <si>
    <t xml:space="preserve">Encyclopaedic coverage of usability testing concepts, with free and paid courses. Good for building foundational literacy across a team.</t>
  </si>
  <si>
    <t xml:space="preserve">Interaction Design Foundation — Usability Testing</t>
  </si>
  <si>
    <t xml:space="preserve">Practical, modern guides covering remote and unmoderated testing, analysis, and research operations. Especially useful if you are running tests at scale.</t>
  </si>
  <si>
    <t xml:space="preserve">Maze Research Hub</t>
  </si>
  <si>
    <t xml:space="preserve">A practical handbook covering research planning, recruitment, facilitation, synthesis, and reporting. Well-suited as a day-to-day reference.</t>
  </si>
  <si>
    <t xml:space="preserve">Dovetail UX Research Field Guide</t>
  </si>
  <si>
    <t xml:space="preserve">The definitive practical book on DIY usability testing. Essential reading for researchers who run their own studies. Short, actionable, and genuinely funny.</t>
  </si>
  <si>
    <t xml:space="preserve">Steve Krug — Rocket Surgery Made Easy</t>
  </si>
  <si>
    <t xml:space="preserve">Global community focused on the operational side of research — recruitment panels, consent frameworks, tooling, repositories, and making research scale inside organisations.</t>
  </si>
  <si>
    <t xml:space="preserve">The original 10-item post-study questionnaire. Free to use, widely benchmarked, and gives you a single comparable score. Scores above 68 are considered above average.</t>
  </si>
  <si>
    <t xml:space="preserve">System Usability Scale (SUS) — Brooke 1996</t>
  </si>
  <si>
    <t xml:space="preserve">A single 7-point question asked after each task ('How difficult or easy was this task?'). Quick to administer and correlates well with task performance data.</t>
  </si>
  <si>
    <t xml:space="preserve">Single Ease Question (SEQ) — NNG</t>
  </si>
  <si>
    <t xml:space="preserve">If accessibility is in scope, these are the international standards your product should be tested against. Consider including at least one participant who uses assistive technology.</t>
  </si>
  <si>
    <t xml:space="preserve">WCAG 2.2 Accessibility Guidelines</t>
  </si>
</sst>
</file>

<file path=xl/styles.xml><?xml version="1.0" encoding="utf-8"?>
<styleSheet xmlns="http://schemas.openxmlformats.org/spreadsheetml/2006/main">
  <numFmts count="3">
    <numFmt numFmtId="164" formatCode="General"/>
    <numFmt numFmtId="165" formatCode="General"/>
    <numFmt numFmtId="166" formatCode="0%"/>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55555"/>
      <name val="Arial"/>
      <family val="0"/>
      <charset val="1"/>
    </font>
    <font>
      <b val="true"/>
      <sz val="10"/>
      <color rgb="FFFFFFFF"/>
      <name val="Arial"/>
      <family val="0"/>
      <charset val="1"/>
    </font>
    <font>
      <b val="true"/>
      <sz val="11"/>
      <color rgb="FFFFFFFF"/>
      <name val="Arial"/>
      <family val="0"/>
      <charset val="1"/>
    </font>
    <font>
      <b val="true"/>
      <sz val="12"/>
      <color rgb="FF1A5276"/>
      <name val="Arial"/>
      <family val="0"/>
      <charset val="1"/>
    </font>
    <font>
      <sz val="10"/>
      <color rgb="FF1A1A1A"/>
      <name val="Arial"/>
      <family val="0"/>
      <charset val="1"/>
    </font>
    <font>
      <b val="true"/>
      <sz val="12"/>
      <color rgb="FF145A32"/>
      <name val="Arial"/>
      <family val="0"/>
      <charset val="1"/>
    </font>
    <font>
      <b val="true"/>
      <sz val="12"/>
      <color rgb="FF6E2FA0"/>
      <name val="Arial"/>
      <family val="0"/>
      <charset val="1"/>
    </font>
    <font>
      <b val="true"/>
      <sz val="12"/>
      <color rgb="FF7D6608"/>
      <name val="Arial"/>
      <family val="0"/>
      <charset val="1"/>
    </font>
    <font>
      <b val="true"/>
      <sz val="12"/>
      <color rgb="FF784212"/>
      <name val="Arial"/>
      <family val="0"/>
      <charset val="1"/>
    </font>
    <font>
      <b val="true"/>
      <sz val="12"/>
      <color rgb="FF7B241C"/>
      <name val="Arial"/>
      <family val="0"/>
      <charset val="1"/>
    </font>
    <font>
      <i val="true"/>
      <sz val="9"/>
      <color rgb="FF555555"/>
      <name val="Arial"/>
      <family val="0"/>
      <charset val="1"/>
    </font>
    <font>
      <b val="true"/>
      <sz val="10"/>
      <color rgb="FF1B2A4A"/>
      <name val="Arial"/>
      <family val="0"/>
      <charset val="1"/>
    </font>
    <font>
      <sz val="10"/>
      <color rgb="FF555555"/>
      <name val="Arial"/>
      <family val="0"/>
      <charset val="1"/>
    </font>
    <font>
      <b val="true"/>
      <sz val="11"/>
      <color rgb="FF276221"/>
      <name val="Arial"/>
      <family val="0"/>
      <charset val="1"/>
    </font>
    <font>
      <b val="true"/>
      <sz val="12"/>
      <color rgb="FF276221"/>
      <name val="Arial"/>
      <family val="0"/>
      <charset val="1"/>
    </font>
    <font>
      <b val="true"/>
      <sz val="9"/>
      <color rgb="FF276221"/>
      <name val="Arial"/>
      <family val="0"/>
      <charset val="1"/>
    </font>
    <font>
      <sz val="9"/>
      <color rgb="FF555555"/>
      <name val="Arial"/>
      <family val="0"/>
      <charset val="1"/>
    </font>
    <font>
      <b val="true"/>
      <sz val="9"/>
      <color rgb="FF9C6500"/>
      <name val="Arial"/>
      <family val="0"/>
      <charset val="1"/>
    </font>
    <font>
      <b val="true"/>
      <sz val="9"/>
      <color rgb="FF9C0006"/>
      <name val="Arial"/>
      <family val="0"/>
      <charset val="1"/>
    </font>
    <font>
      <b val="true"/>
      <sz val="9"/>
      <color rgb="FF8B4513"/>
      <name val="Arial"/>
      <family val="0"/>
      <charset val="1"/>
    </font>
    <font>
      <b val="true"/>
      <sz val="9"/>
      <color rgb="FF6B2FA0"/>
      <name val="Arial"/>
      <family val="0"/>
      <charset val="1"/>
    </font>
    <font>
      <b val="true"/>
      <sz val="9"/>
      <color rgb="FF444444"/>
      <name val="Arial"/>
      <family val="0"/>
      <charset val="1"/>
    </font>
    <font>
      <b val="true"/>
      <sz val="9"/>
      <color rgb="FF1A7A6E"/>
      <name val="Arial"/>
      <family val="0"/>
      <charset val="1"/>
    </font>
    <font>
      <i val="true"/>
      <sz val="9"/>
      <color rgb="FFAAAAAA"/>
      <name val="Arial"/>
      <family val="0"/>
      <charset val="1"/>
    </font>
    <font>
      <b val="true"/>
      <sz val="10"/>
      <color rgb="FF9C0006"/>
      <name val="Arial"/>
      <family val="0"/>
      <charset val="1"/>
    </font>
    <font>
      <b val="true"/>
      <sz val="10"/>
      <color rgb="FF8B4513"/>
      <name val="Arial"/>
      <family val="0"/>
      <charset val="1"/>
    </font>
    <font>
      <b val="true"/>
      <sz val="10"/>
      <color rgb="FF9C6500"/>
      <name val="Arial"/>
      <family val="0"/>
      <charset val="1"/>
    </font>
    <font>
      <b val="true"/>
      <sz val="10"/>
      <color rgb="FF276221"/>
      <name val="Arial"/>
      <family val="0"/>
      <charset val="1"/>
    </font>
    <font>
      <b val="true"/>
      <sz val="13"/>
      <color rgb="FFFFFFFF"/>
      <name val="Arial"/>
      <family val="0"/>
      <charset val="1"/>
    </font>
    <font>
      <i val="true"/>
      <sz val="10"/>
      <color rgb="FFFFFFFF"/>
      <name val="Arial"/>
      <family val="0"/>
      <charset val="1"/>
    </font>
    <font>
      <u val="single"/>
      <sz val="10"/>
      <color rgb="FF1155CC"/>
      <name val="Arial"/>
      <family val="0"/>
      <charset val="1"/>
    </font>
  </fonts>
  <fills count="39">
    <fill>
      <patternFill patternType="none"/>
    </fill>
    <fill>
      <patternFill patternType="gray125"/>
    </fill>
    <fill>
      <patternFill patternType="solid">
        <fgColor rgb="FF1B2A4A"/>
        <bgColor rgb="FF1A3A5C"/>
      </patternFill>
    </fill>
    <fill>
      <patternFill patternType="solid">
        <fgColor rgb="FFEEF4FC"/>
        <bgColor rgb="FFE8ECF0"/>
      </patternFill>
    </fill>
    <fill>
      <patternFill patternType="solid">
        <fgColor rgb="FF2E5DA6"/>
        <bgColor rgb="FF1F618D"/>
      </patternFill>
    </fill>
    <fill>
      <patternFill patternType="solid">
        <fgColor rgb="FF1A5276"/>
        <bgColor rgb="FF1F618D"/>
      </patternFill>
    </fill>
    <fill>
      <patternFill patternType="solid">
        <fgColor rgb="FFD6EAF8"/>
        <bgColor rgb="FFD6E4F7"/>
      </patternFill>
    </fill>
    <fill>
      <patternFill patternType="solid">
        <fgColor rgb="FFFFFFFF"/>
        <bgColor rgb="FFFEF9E7"/>
      </patternFill>
    </fill>
    <fill>
      <patternFill patternType="solid">
        <fgColor rgb="FF145A32"/>
        <bgColor rgb="FF276221"/>
      </patternFill>
    </fill>
    <fill>
      <patternFill patternType="solid">
        <fgColor rgb="FFD5F5E3"/>
        <bgColor rgb="FFD5F5F1"/>
      </patternFill>
    </fill>
    <fill>
      <patternFill patternType="solid">
        <fgColor rgb="FF6E2FA0"/>
        <bgColor rgb="FF6B2FA0"/>
      </patternFill>
    </fill>
    <fill>
      <patternFill patternType="solid">
        <fgColor rgb="FFF0E6FA"/>
        <bgColor rgb="FFE8ECF0"/>
      </patternFill>
    </fill>
    <fill>
      <patternFill patternType="solid">
        <fgColor rgb="FF7D6608"/>
        <bgColor rgb="FF9C6500"/>
      </patternFill>
    </fill>
    <fill>
      <patternFill patternType="solid">
        <fgColor rgb="FFFEF9E7"/>
        <bgColor rgb="FFFFFFFF"/>
      </patternFill>
    </fill>
    <fill>
      <patternFill patternType="solid">
        <fgColor rgb="FF784212"/>
        <bgColor rgb="FF8B4513"/>
      </patternFill>
    </fill>
    <fill>
      <patternFill patternType="solid">
        <fgColor rgb="FFFDEBD0"/>
        <bgColor rgb="FFFDEDEC"/>
      </patternFill>
    </fill>
    <fill>
      <patternFill patternType="solid">
        <fgColor rgb="FF7B241C"/>
        <bgColor rgb="FF784212"/>
      </patternFill>
    </fill>
    <fill>
      <patternFill patternType="solid">
        <fgColor rgb="FFFDEDEC"/>
        <bgColor rgb="FFFEF9E7"/>
      </patternFill>
    </fill>
    <fill>
      <patternFill patternType="solid">
        <fgColor rgb="FF1F618D"/>
        <bgColor rgb="FF2E5DA6"/>
      </patternFill>
    </fill>
    <fill>
      <patternFill patternType="solid">
        <fgColor rgb="FF2874A6"/>
        <bgColor rgb="FF2E86C1"/>
      </patternFill>
    </fill>
    <fill>
      <patternFill patternType="solid">
        <fgColor rgb="FF2E86C1"/>
        <bgColor rgb="FF3498DB"/>
      </patternFill>
    </fill>
    <fill>
      <patternFill patternType="solid">
        <fgColor rgb="FF3498DB"/>
        <bgColor rgb="FF2E86C1"/>
      </patternFill>
    </fill>
    <fill>
      <patternFill patternType="solid">
        <fgColor rgb="FFD6E4F7"/>
        <bgColor rgb="FFD6EAF8"/>
      </patternFill>
    </fill>
    <fill>
      <patternFill patternType="solid">
        <fgColor rgb="FFC6EFCE"/>
        <bgColor rgb="FFD5F5E3"/>
      </patternFill>
    </fill>
    <fill>
      <patternFill patternType="solid">
        <fgColor rgb="FFFFEB9C"/>
        <bgColor rgb="FFFFDAB9"/>
      </patternFill>
    </fill>
    <fill>
      <patternFill patternType="solid">
        <fgColor rgb="FFFFC7CE"/>
        <bgColor rgb="FFFFDAB9"/>
      </patternFill>
    </fill>
    <fill>
      <patternFill patternType="solid">
        <fgColor rgb="FFFFDAB9"/>
        <bgColor rgb="FFFDEBD0"/>
      </patternFill>
    </fill>
    <fill>
      <patternFill patternType="solid">
        <fgColor rgb="FFE8D5F5"/>
        <bgColor rgb="FFE2E2E2"/>
      </patternFill>
    </fill>
    <fill>
      <patternFill patternType="solid">
        <fgColor rgb="FFE2E2E2"/>
        <bgColor rgb="FFE8ECF0"/>
      </patternFill>
    </fill>
    <fill>
      <patternFill patternType="solid">
        <fgColor rgb="FFD5F5F1"/>
        <bgColor rgb="FFD5F5E3"/>
      </patternFill>
    </fill>
    <fill>
      <patternFill patternType="solid">
        <fgColor rgb="FF1A3A5C"/>
        <bgColor rgb="FF2E4057"/>
      </patternFill>
    </fill>
    <fill>
      <patternFill patternType="solid">
        <fgColor rgb="FFAED6F1"/>
        <bgColor rgb="FFA9DFBF"/>
      </patternFill>
    </fill>
    <fill>
      <patternFill patternType="solid">
        <fgColor rgb="FFA9DFBF"/>
        <bgColor rgb="FFAED6F1"/>
      </patternFill>
    </fill>
    <fill>
      <patternFill patternType="solid">
        <fgColor rgb="FFD7BDE2"/>
        <bgColor rgb="FFCCCCCC"/>
      </patternFill>
    </fill>
    <fill>
      <patternFill patternType="solid">
        <fgColor rgb="FFF0B27A"/>
        <bgColor rgb="FFF1948A"/>
      </patternFill>
    </fill>
    <fill>
      <patternFill patternType="solid">
        <fgColor rgb="FFF1948A"/>
        <bgColor rgb="FFF0B27A"/>
      </patternFill>
    </fill>
    <fill>
      <patternFill patternType="solid">
        <fgColor rgb="FF2E4057"/>
        <bgColor rgb="FF1A3A5C"/>
      </patternFill>
    </fill>
    <fill>
      <patternFill patternType="solid">
        <fgColor rgb="FFB2BEC3"/>
        <bgColor rgb="FFAAAAAA"/>
      </patternFill>
    </fill>
    <fill>
      <patternFill patternType="solid">
        <fgColor rgb="FFE8ECF0"/>
        <bgColor rgb="FFF0E6FA"/>
      </patternFill>
    </fill>
  </fills>
  <borders count="10">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1A5276"/>
      </left>
      <right/>
      <top style="thin">
        <color rgb="FFCCCCCC"/>
      </top>
      <bottom style="thin">
        <color rgb="FFCCCCCC"/>
      </bottom>
      <diagonal/>
    </border>
    <border diagonalUp="false" diagonalDown="false">
      <left style="thin">
        <color rgb="FF145A32"/>
      </left>
      <right/>
      <top style="thin">
        <color rgb="FFCCCCCC"/>
      </top>
      <bottom style="thin">
        <color rgb="FFCCCCCC"/>
      </bottom>
      <diagonal/>
    </border>
    <border diagonalUp="false" diagonalDown="false">
      <left style="thin">
        <color rgb="FF6E2FA0"/>
      </left>
      <right/>
      <top style="thin">
        <color rgb="FFCCCCCC"/>
      </top>
      <bottom style="thin">
        <color rgb="FFCCCCCC"/>
      </bottom>
      <diagonal/>
    </border>
    <border diagonalUp="false" diagonalDown="false">
      <left style="thin">
        <color rgb="FF7D6608"/>
      </left>
      <right/>
      <top style="thin">
        <color rgb="FFCCCCCC"/>
      </top>
      <bottom style="thin">
        <color rgb="FFCCCCCC"/>
      </bottom>
      <diagonal/>
    </border>
    <border diagonalUp="false" diagonalDown="false">
      <left style="thin">
        <color rgb="FF784212"/>
      </left>
      <right/>
      <top style="thin">
        <color rgb="FFCCCCCC"/>
      </top>
      <bottom style="thin">
        <color rgb="FFCCCCCC"/>
      </bottom>
      <diagonal/>
    </border>
    <border diagonalUp="false" diagonalDown="false">
      <left style="thin">
        <color rgb="FF7B241C"/>
      </left>
      <right/>
      <top style="thin">
        <color rgb="FFCCCCCC"/>
      </top>
      <bottom style="thin">
        <color rgb="FFCCCCCC"/>
      </bottom>
      <diagonal/>
    </border>
    <border diagonalUp="false" diagonalDown="false">
      <left style="thin">
        <color rgb="FFCCCCCC"/>
      </left>
      <right/>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1"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4" fontId="8" fillId="6" borderId="3"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left" vertical="top" textRotation="0" wrapText="true" indent="1" shrinkToFit="false"/>
      <protection locked="true" hidden="false"/>
    </xf>
    <xf numFmtId="164" fontId="0" fillId="7" borderId="1" xfId="0" applyFont="false" applyBorder="true" applyAlignment="true" applyProtection="false">
      <alignment horizontal="left" vertical="top" textRotation="0" wrapText="true" indent="1" shrinkToFit="false"/>
      <protection locked="true" hidden="false"/>
    </xf>
    <xf numFmtId="164" fontId="8" fillId="7" borderId="3" xfId="0" applyFont="true" applyBorder="true" applyAlignment="true" applyProtection="false">
      <alignment horizontal="center" vertical="top" textRotation="0" wrapText="false" indent="0" shrinkToFit="false"/>
      <protection locked="true" hidden="false"/>
    </xf>
    <xf numFmtId="164" fontId="9" fillId="7" borderId="1" xfId="0" applyFont="true" applyBorder="true" applyAlignment="true" applyProtection="false">
      <alignment horizontal="left" vertical="top" textRotation="0" wrapText="true" indent="1"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10" fillId="9" borderId="4"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left" vertical="top" textRotation="0" wrapText="true" indent="1" shrinkToFit="false"/>
      <protection locked="true" hidden="false"/>
    </xf>
    <xf numFmtId="164" fontId="10" fillId="7" borderId="4" xfId="0" applyFont="true" applyBorder="true" applyAlignment="true" applyProtection="false">
      <alignment horizontal="center" vertical="top"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11" fillId="11" borderId="5" xfId="0" applyFont="true" applyBorder="true" applyAlignment="true" applyProtection="false">
      <alignment horizontal="center" vertical="top" textRotation="0" wrapText="false" indent="0" shrinkToFit="false"/>
      <protection locked="true" hidden="false"/>
    </xf>
    <xf numFmtId="164" fontId="9" fillId="11" borderId="1" xfId="0" applyFont="true" applyBorder="true" applyAlignment="true" applyProtection="false">
      <alignment horizontal="left" vertical="top" textRotation="0" wrapText="true" indent="1" shrinkToFit="false"/>
      <protection locked="true" hidden="false"/>
    </xf>
    <xf numFmtId="164" fontId="11" fillId="7" borderId="5" xfId="0" applyFont="true" applyBorder="true" applyAlignment="true" applyProtection="false">
      <alignment horizontal="center" vertical="top" textRotation="0" wrapText="false" indent="0" shrinkToFit="false"/>
      <protection locked="true" hidden="false"/>
    </xf>
    <xf numFmtId="164" fontId="7" fillId="12" borderId="2" xfId="0" applyFont="true" applyBorder="true" applyAlignment="true" applyProtection="false">
      <alignment horizontal="left" vertical="center" textRotation="0" wrapText="false" indent="0" shrinkToFit="false"/>
      <protection locked="true" hidden="false"/>
    </xf>
    <xf numFmtId="164" fontId="12" fillId="13" borderId="6" xfId="0" applyFont="true" applyBorder="true" applyAlignment="true" applyProtection="false">
      <alignment horizontal="center" vertical="top" textRotation="0" wrapText="false" indent="0" shrinkToFit="false"/>
      <protection locked="true" hidden="false"/>
    </xf>
    <xf numFmtId="164" fontId="9" fillId="13" borderId="1" xfId="0" applyFont="true" applyBorder="true" applyAlignment="true" applyProtection="false">
      <alignment horizontal="left" vertical="top" textRotation="0" wrapText="true" indent="1" shrinkToFit="false"/>
      <protection locked="true" hidden="false"/>
    </xf>
    <xf numFmtId="164" fontId="12" fillId="7" borderId="6" xfId="0" applyFont="true" applyBorder="true" applyAlignment="true" applyProtection="false">
      <alignment horizontal="center" vertical="top" textRotation="0" wrapText="false" indent="0" shrinkToFit="false"/>
      <protection locked="true" hidden="false"/>
    </xf>
    <xf numFmtId="164" fontId="7" fillId="14" borderId="2" xfId="0" applyFont="true" applyBorder="true" applyAlignment="true" applyProtection="false">
      <alignment horizontal="left" vertical="center" textRotation="0" wrapText="false" indent="0" shrinkToFit="false"/>
      <protection locked="true" hidden="false"/>
    </xf>
    <xf numFmtId="164" fontId="13" fillId="15" borderId="7" xfId="0" applyFont="true" applyBorder="true" applyAlignment="true" applyProtection="false">
      <alignment horizontal="center" vertical="top" textRotation="0" wrapText="false" indent="0" shrinkToFit="false"/>
      <protection locked="true" hidden="false"/>
    </xf>
    <xf numFmtId="164" fontId="9" fillId="15" borderId="1" xfId="0" applyFont="true" applyBorder="true" applyAlignment="true" applyProtection="false">
      <alignment horizontal="left" vertical="top" textRotation="0" wrapText="true" indent="1" shrinkToFit="false"/>
      <protection locked="true" hidden="false"/>
    </xf>
    <xf numFmtId="164" fontId="13" fillId="7" borderId="7" xfId="0" applyFont="true" applyBorder="true" applyAlignment="true" applyProtection="false">
      <alignment horizontal="center" vertical="top" textRotation="0" wrapText="false" indent="0" shrinkToFit="false"/>
      <protection locked="true" hidden="false"/>
    </xf>
    <xf numFmtId="164" fontId="7" fillId="16" borderId="2" xfId="0" applyFont="true" applyBorder="true" applyAlignment="true" applyProtection="false">
      <alignment horizontal="left" vertical="center" textRotation="0" wrapText="false" indent="0" shrinkToFit="false"/>
      <protection locked="true" hidden="false"/>
    </xf>
    <xf numFmtId="164" fontId="14" fillId="17" borderId="8" xfId="0" applyFont="true" applyBorder="true" applyAlignment="true" applyProtection="false">
      <alignment horizontal="center" vertical="top" textRotation="0" wrapText="false" indent="0" shrinkToFit="false"/>
      <protection locked="true" hidden="false"/>
    </xf>
    <xf numFmtId="164" fontId="9" fillId="17" borderId="1" xfId="0" applyFont="true" applyBorder="true" applyAlignment="true" applyProtection="false">
      <alignment horizontal="left" vertical="top" textRotation="0" wrapText="true" indent="1" shrinkToFit="false"/>
      <protection locked="true" hidden="false"/>
    </xf>
    <xf numFmtId="164" fontId="14" fillId="7" borderId="8" xfId="0" applyFont="true" applyBorder="true" applyAlignment="true" applyProtection="false">
      <alignment horizontal="center" vertical="top"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15" fillId="3" borderId="9" xfId="0" applyFont="true" applyBorder="true" applyAlignment="true" applyProtection="false">
      <alignment horizontal="left" vertical="top" textRotation="0" wrapText="true" indent="1" shrinkToFit="false"/>
      <protection locked="true" hidden="false"/>
    </xf>
    <xf numFmtId="164" fontId="15" fillId="7" borderId="9" xfId="0" applyFont="true" applyBorder="true" applyAlignment="true" applyProtection="false">
      <alignment horizontal="left" vertical="top" textRotation="0" wrapText="true" indent="1"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18" borderId="1" xfId="0" applyFont="true" applyBorder="true" applyAlignment="true" applyProtection="false">
      <alignment horizontal="center" vertical="center" textRotation="0" wrapText="true" indent="0" shrinkToFit="false"/>
      <protection locked="true" hidden="false"/>
    </xf>
    <xf numFmtId="164" fontId="6" fillId="19" borderId="1" xfId="0" applyFont="true" applyBorder="true" applyAlignment="true" applyProtection="false">
      <alignment horizontal="center" vertical="center" textRotation="0" wrapText="true" indent="0" shrinkToFit="false"/>
      <protection locked="true" hidden="false"/>
    </xf>
    <xf numFmtId="164" fontId="6" fillId="20" borderId="1" xfId="0" applyFont="true" applyBorder="true" applyAlignment="true" applyProtection="false">
      <alignment horizontal="center" vertical="center" textRotation="0" wrapText="tru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16" fillId="22" borderId="1" xfId="0" applyFont="true" applyBorder="true" applyAlignment="true" applyProtection="false">
      <alignment horizontal="left" vertical="center" textRotation="0" wrapText="true" indent="0" shrinkToFit="false"/>
      <protection locked="true" hidden="false"/>
    </xf>
    <xf numFmtId="165" fontId="17" fillId="7" borderId="1" xfId="0" applyFont="true" applyBorder="true" applyAlignment="true" applyProtection="false">
      <alignment horizontal="center" vertical="center" textRotation="0" wrapText="false" indent="0" shrinkToFit="false"/>
      <protection locked="true" hidden="false"/>
    </xf>
    <xf numFmtId="165" fontId="17" fillId="3" borderId="1" xfId="0" applyFont="true" applyBorder="true" applyAlignment="true" applyProtection="false">
      <alignment horizontal="center" vertical="center" textRotation="0" wrapText="false" indent="0" shrinkToFit="false"/>
      <protection locked="true" hidden="false"/>
    </xf>
    <xf numFmtId="166" fontId="18" fillId="23" borderId="1" xfId="0" applyFont="true" applyBorder="true" applyAlignment="true" applyProtection="false">
      <alignment horizontal="center" vertical="center" textRotation="0" wrapText="false" indent="0" shrinkToFit="false"/>
      <protection locked="true" hidden="false"/>
    </xf>
    <xf numFmtId="164" fontId="17" fillId="3" borderId="2" xfId="0" applyFont="true" applyBorder="true" applyAlignment="true" applyProtection="false">
      <alignment horizontal="left" vertical="top" textRotation="0" wrapText="true" indent="0" shrinkToFit="false"/>
      <protection locked="true" hidden="false"/>
    </xf>
    <xf numFmtId="164" fontId="17" fillId="7" borderId="2" xfId="0" applyFont="true" applyBorder="true" applyAlignment="true" applyProtection="false">
      <alignment horizontal="left" vertical="top" textRotation="0" wrapText="true" indent="0" shrinkToFit="false"/>
      <protection locked="true" hidden="false"/>
    </xf>
    <xf numFmtId="166" fontId="19" fillId="3" borderId="2" xfId="0" applyFont="true" applyBorder="true" applyAlignment="true" applyProtection="false">
      <alignment horizontal="left" vertical="top"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17" fillId="3" borderId="1" xfId="0" applyFont="true" applyBorder="true" applyAlignment="true" applyProtection="false">
      <alignment horizontal="center" vertical="top" textRotation="0" wrapText="true" indent="0" shrinkToFit="false"/>
      <protection locked="true" hidden="false"/>
    </xf>
    <xf numFmtId="164" fontId="17" fillId="3" borderId="1" xfId="0" applyFont="true" applyBorder="true" applyAlignment="true" applyProtection="false">
      <alignment horizontal="left" vertical="top" textRotation="0" wrapText="true" indent="0" shrinkToFit="false"/>
      <protection locked="true" hidden="false"/>
    </xf>
    <xf numFmtId="164" fontId="17" fillId="7" borderId="1" xfId="0" applyFont="true" applyBorder="true" applyAlignment="true" applyProtection="false">
      <alignment horizontal="center" vertical="top" textRotation="0" wrapText="true" indent="0" shrinkToFit="false"/>
      <protection locked="true" hidden="false"/>
    </xf>
    <xf numFmtId="164" fontId="17" fillId="7" borderId="1" xfId="0" applyFont="true" applyBorder="tru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6" fillId="18" borderId="0" xfId="0" applyFont="true" applyBorder="true" applyAlignment="true" applyProtection="false">
      <alignment horizontal="center" vertical="center" textRotation="0" wrapText="false" indent="0" shrinkToFit="false"/>
      <protection locked="true" hidden="false"/>
    </xf>
    <xf numFmtId="164" fontId="6" fillId="19" borderId="0" xfId="0" applyFont="true" applyBorder="true" applyAlignment="true" applyProtection="false">
      <alignment horizontal="center" vertical="center" textRotation="0" wrapText="false" indent="0" shrinkToFit="false"/>
      <protection locked="true" hidden="false"/>
    </xf>
    <xf numFmtId="164" fontId="6" fillId="20" borderId="0" xfId="0" applyFont="true" applyBorder="true" applyAlignment="true" applyProtection="false">
      <alignment horizontal="center" vertical="center" textRotation="0" wrapText="false" indent="0" shrinkToFit="false"/>
      <protection locked="true" hidden="false"/>
    </xf>
    <xf numFmtId="164" fontId="6" fillId="21"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20" fillId="23" borderId="1" xfId="0" applyFont="true" applyBorder="true" applyAlignment="true" applyProtection="false">
      <alignment horizontal="center" vertical="center" textRotation="0" wrapText="false" indent="0" shrinkToFit="false"/>
      <protection locked="true" hidden="false"/>
    </xf>
    <xf numFmtId="164" fontId="21" fillId="3" borderId="2" xfId="0" applyFont="true" applyBorder="true" applyAlignment="true" applyProtection="false">
      <alignment horizontal="left" vertical="center" textRotation="0" wrapText="true" indent="0" shrinkToFit="false"/>
      <protection locked="true" hidden="false"/>
    </xf>
    <xf numFmtId="164" fontId="22" fillId="24" borderId="1" xfId="0" applyFont="true" applyBorder="true" applyAlignment="true" applyProtection="false">
      <alignment horizontal="center" vertical="center" textRotation="0" wrapText="false" indent="0" shrinkToFit="false"/>
      <protection locked="true" hidden="false"/>
    </xf>
    <xf numFmtId="164" fontId="23" fillId="25" borderId="1" xfId="0" applyFont="true" applyBorder="true" applyAlignment="true" applyProtection="false">
      <alignment horizontal="center" vertical="center" textRotation="0" wrapText="false" indent="0" shrinkToFit="false"/>
      <protection locked="true" hidden="false"/>
    </xf>
    <xf numFmtId="164" fontId="21" fillId="7" borderId="2" xfId="0" applyFont="true" applyBorder="true" applyAlignment="true" applyProtection="false">
      <alignment horizontal="left" vertical="center" textRotation="0" wrapText="true" indent="0" shrinkToFit="false"/>
      <protection locked="true" hidden="false"/>
    </xf>
    <xf numFmtId="164" fontId="24" fillId="26" borderId="1" xfId="0" applyFont="true" applyBorder="true" applyAlignment="true" applyProtection="false">
      <alignment horizontal="center" vertical="center" textRotation="0" wrapText="false" indent="0" shrinkToFit="false"/>
      <protection locked="true" hidden="false"/>
    </xf>
    <xf numFmtId="164" fontId="25" fillId="27" borderId="1" xfId="0" applyFont="true" applyBorder="true" applyAlignment="true" applyProtection="false">
      <alignment horizontal="center" vertical="center" textRotation="0" wrapText="false" indent="0" shrinkToFit="false"/>
      <protection locked="true" hidden="false"/>
    </xf>
    <xf numFmtId="164" fontId="26" fillId="28" borderId="1" xfId="0" applyFont="true" applyBorder="true" applyAlignment="true" applyProtection="false">
      <alignment horizontal="center" vertical="center" textRotation="0" wrapText="false" indent="0" shrinkToFit="false"/>
      <protection locked="true" hidden="false"/>
    </xf>
    <xf numFmtId="164" fontId="27" fillId="29" borderId="1"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left" vertical="top" textRotation="0" wrapText="true" indent="0" shrinkToFit="false"/>
      <protection locked="true" hidden="false"/>
    </xf>
    <xf numFmtId="164" fontId="28" fillId="7" borderId="1" xfId="0" applyFont="true" applyBorder="true" applyAlignment="true" applyProtection="false">
      <alignment horizontal="left" vertical="top" textRotation="0" wrapText="true" indent="0"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29" fillId="25" borderId="1" xfId="0" applyFont="true" applyBorder="true" applyAlignment="true" applyProtection="false">
      <alignment horizontal="center" vertical="center" textRotation="0" wrapText="false" indent="0" shrinkToFit="false"/>
      <protection locked="true" hidden="false"/>
    </xf>
    <xf numFmtId="164" fontId="30" fillId="26" borderId="1" xfId="0" applyFont="true" applyBorder="true" applyAlignment="true" applyProtection="false">
      <alignment horizontal="center" vertical="center" textRotation="0" wrapText="false" indent="0" shrinkToFit="false"/>
      <protection locked="true" hidden="false"/>
    </xf>
    <xf numFmtId="164" fontId="31" fillId="24" borderId="1" xfId="0" applyFont="true" applyBorder="true" applyAlignment="true" applyProtection="false">
      <alignment horizontal="center" vertical="center" textRotation="0" wrapText="false" indent="0" shrinkToFit="false"/>
      <protection locked="true" hidden="false"/>
    </xf>
    <xf numFmtId="164" fontId="32" fillId="23" borderId="1" xfId="0" applyFont="true" applyBorder="true" applyAlignment="true" applyProtection="false">
      <alignment horizontal="center" vertical="center" textRotation="0" wrapText="false" indent="0" shrinkToFit="false"/>
      <protection locked="true" hidden="false"/>
    </xf>
    <xf numFmtId="164" fontId="33" fillId="30" borderId="0" xfId="0" applyFont="true" applyBorder="true" applyAlignment="true" applyProtection="false">
      <alignment horizontal="left" vertical="center" textRotation="0" wrapText="false" indent="0" shrinkToFit="false"/>
      <protection locked="true" hidden="false"/>
    </xf>
    <xf numFmtId="164" fontId="34" fillId="30" borderId="0" xfId="0" applyFont="true" applyBorder="true" applyAlignment="true" applyProtection="false">
      <alignment horizontal="left" vertical="center" textRotation="0" wrapText="false" indent="0" shrinkToFit="false"/>
      <protection locked="true" hidden="false"/>
    </xf>
    <xf numFmtId="164" fontId="6" fillId="30" borderId="1" xfId="0" applyFont="true" applyBorder="true" applyAlignment="true" applyProtection="false">
      <alignment horizontal="left" vertical="center" textRotation="0" wrapText="false" indent="0" shrinkToFit="false"/>
      <protection locked="true" hidden="false"/>
    </xf>
    <xf numFmtId="164" fontId="0" fillId="31" borderId="0" xfId="0" applyFont="false" applyBorder="false" applyAlignment="true" applyProtection="false">
      <alignment horizontal="general" vertical="bottom" textRotation="0" wrapText="false" indent="0" shrinkToFit="false"/>
      <protection locked="true" hidden="false"/>
    </xf>
    <xf numFmtId="164" fontId="35" fillId="7" borderId="1" xfId="0" applyFont="true" applyBorder="true" applyAlignment="true" applyProtection="false">
      <alignment horizontal="left" vertical="top" textRotation="0" wrapText="true" indent="1" shrinkToFit="false"/>
      <protection locked="true" hidden="false"/>
    </xf>
    <xf numFmtId="164" fontId="0" fillId="30" borderId="0" xfId="0" applyFont="false" applyBorder="false" applyAlignment="true" applyProtection="false">
      <alignment horizontal="general" vertical="bottom" textRotation="0" wrapText="false" indent="0" shrinkToFit="false"/>
      <protection locked="true" hidden="false"/>
    </xf>
    <xf numFmtId="164" fontId="15" fillId="3" borderId="2" xfId="0" applyFont="true" applyBorder="true" applyAlignment="true" applyProtection="false">
      <alignment horizontal="left" vertical="center" textRotation="0" wrapText="true" indent="0" shrinkToFit="false"/>
      <protection locked="true" hidden="false"/>
    </xf>
    <xf numFmtId="164" fontId="33" fillId="5" borderId="0" xfId="0" applyFont="true" applyBorder="true" applyAlignment="true" applyProtection="false">
      <alignment horizontal="left" vertical="center" textRotation="0" wrapText="false" indent="0" shrinkToFit="false"/>
      <protection locked="true" hidden="false"/>
    </xf>
    <xf numFmtId="164" fontId="34" fillId="5" borderId="0" xfId="0" applyFont="true" applyBorder="true" applyAlignment="true" applyProtection="false">
      <alignment horizontal="left"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33" fillId="8" borderId="0" xfId="0" applyFont="true" applyBorder="true" applyAlignment="true" applyProtection="false">
      <alignment horizontal="left" vertical="center" textRotation="0" wrapText="false" indent="0" shrinkToFit="false"/>
      <protection locked="true" hidden="false"/>
    </xf>
    <xf numFmtId="164" fontId="34" fillId="8" borderId="0"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false" indent="0" shrinkToFit="false"/>
      <protection locked="true" hidden="false"/>
    </xf>
    <xf numFmtId="164" fontId="0" fillId="32" borderId="0" xfId="0" applyFont="false" applyBorder="false" applyAlignment="tru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33" fillId="10" borderId="0" xfId="0" applyFont="true" applyBorder="true" applyAlignment="true" applyProtection="false">
      <alignment horizontal="left" vertical="center" textRotation="0" wrapText="false" indent="0" shrinkToFit="false"/>
      <protection locked="true" hidden="false"/>
    </xf>
    <xf numFmtId="164" fontId="34" fillId="10" borderId="0" xfId="0" applyFont="true" applyBorder="true" applyAlignment="true" applyProtection="false">
      <alignment horizontal="left" vertical="center" textRotation="0" wrapText="false" indent="0" shrinkToFit="false"/>
      <protection locked="true" hidden="false"/>
    </xf>
    <xf numFmtId="164" fontId="6" fillId="10" borderId="1" xfId="0" applyFont="true" applyBorder="true" applyAlignment="true" applyProtection="false">
      <alignment horizontal="left" vertical="center" textRotation="0" wrapText="false" indent="0" shrinkToFit="false"/>
      <protection locked="true" hidden="false"/>
    </xf>
    <xf numFmtId="164" fontId="0" fillId="33" borderId="0" xfId="0" applyFont="false" applyBorder="fals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33" fillId="14" borderId="0" xfId="0" applyFont="true" applyBorder="true" applyAlignment="true" applyProtection="false">
      <alignment horizontal="left" vertical="center" textRotation="0" wrapText="false" indent="0" shrinkToFit="false"/>
      <protection locked="true" hidden="false"/>
    </xf>
    <xf numFmtId="164" fontId="34" fillId="14" borderId="0" xfId="0" applyFont="true" applyBorder="true" applyAlignment="true" applyProtection="false">
      <alignment horizontal="left" vertical="center" textRotation="0" wrapText="false" indent="0" shrinkToFit="false"/>
      <protection locked="true" hidden="false"/>
    </xf>
    <xf numFmtId="164" fontId="6" fillId="14" borderId="1" xfId="0" applyFont="true" applyBorder="true" applyAlignment="true" applyProtection="false">
      <alignment horizontal="left" vertical="center" textRotation="0" wrapText="false" indent="0" shrinkToFit="false"/>
      <protection locked="true" hidden="false"/>
    </xf>
    <xf numFmtId="164" fontId="0" fillId="34" borderId="0" xfId="0" applyFont="fals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64" fontId="33" fillId="16" borderId="0" xfId="0" applyFont="true" applyBorder="true" applyAlignment="true" applyProtection="false">
      <alignment horizontal="left" vertical="center" textRotation="0" wrapText="false" indent="0" shrinkToFit="false"/>
      <protection locked="true" hidden="false"/>
    </xf>
    <xf numFmtId="164" fontId="34" fillId="16" borderId="0" xfId="0" applyFont="true" applyBorder="true" applyAlignment="true" applyProtection="false">
      <alignment horizontal="left" vertical="center" textRotation="0" wrapText="false" indent="0" shrinkToFit="false"/>
      <protection locked="true" hidden="false"/>
    </xf>
    <xf numFmtId="164" fontId="6" fillId="16" borderId="1" xfId="0" applyFont="true" applyBorder="true" applyAlignment="true" applyProtection="false">
      <alignment horizontal="left" vertical="center" textRotation="0" wrapText="false" indent="0" shrinkToFit="false"/>
      <protection locked="true" hidden="false"/>
    </xf>
    <xf numFmtId="164" fontId="0" fillId="35" borderId="0" xfId="0" applyFont="false" applyBorder="false" applyAlignment="tru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false" indent="0" shrinkToFit="false"/>
      <protection locked="true" hidden="false"/>
    </xf>
    <xf numFmtId="164" fontId="33" fillId="36" borderId="0" xfId="0" applyFont="true" applyBorder="true" applyAlignment="true" applyProtection="false">
      <alignment horizontal="left" vertical="center" textRotation="0" wrapText="false" indent="0" shrinkToFit="false"/>
      <protection locked="true" hidden="false"/>
    </xf>
    <xf numFmtId="164" fontId="34" fillId="36" borderId="0" xfId="0" applyFont="true" applyBorder="true" applyAlignment="true" applyProtection="false">
      <alignment horizontal="left" vertical="center" textRotation="0" wrapText="false" indent="0" shrinkToFit="false"/>
      <protection locked="true" hidden="false"/>
    </xf>
    <xf numFmtId="164" fontId="6" fillId="36" borderId="1" xfId="0" applyFont="true" applyBorder="true" applyAlignment="true" applyProtection="false">
      <alignment horizontal="left" vertical="center" textRotation="0" wrapText="false" indent="0" shrinkToFit="false"/>
      <protection locked="true" hidden="false"/>
    </xf>
    <xf numFmtId="164" fontId="0" fillId="37" borderId="0" xfId="0" applyFont="false" applyBorder="false" applyAlignment="true" applyProtection="false">
      <alignment horizontal="general" vertical="bottom" textRotation="0" wrapText="false" indent="0" shrinkToFit="false"/>
      <protection locked="true" hidden="false"/>
    </xf>
    <xf numFmtId="164" fontId="9" fillId="38" borderId="1"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0"/>
        <color rgb="FF276221"/>
        <sz val="10"/>
      </font>
      <fill>
        <patternFill>
          <bgColor rgb="FFC6EFCE"/>
        </patternFill>
      </fill>
    </dxf>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
      <font>
        <name val="Arial"/>
        <charset val="1"/>
        <family val="0"/>
        <color rgb="FF8B4513"/>
        <sz val="10"/>
      </font>
      <fill>
        <patternFill>
          <bgColor rgb="FFFFDAB9"/>
        </patternFill>
      </fill>
    </dxf>
    <dxf>
      <font>
        <name val="Arial"/>
        <charset val="1"/>
        <family val="0"/>
        <color rgb="FF6B2FA0"/>
        <sz val="10"/>
      </font>
      <fill>
        <patternFill>
          <bgColor rgb="FFE8D5F5"/>
        </patternFill>
      </fill>
    </dxf>
    <dxf>
      <font>
        <name val="Arial"/>
        <charset val="1"/>
        <family val="0"/>
        <color rgb="FF444444"/>
        <sz val="10"/>
      </font>
      <fill>
        <patternFill>
          <bgColor rgb="FFE2E2E2"/>
        </patternFill>
      </fill>
    </dxf>
    <dxf>
      <font>
        <name val="Arial"/>
        <charset val="1"/>
        <family val="0"/>
        <color rgb="FF1A7A6E"/>
        <sz val="10"/>
      </font>
      <fill>
        <patternFill>
          <bgColor rgb="FFD5F5F1"/>
        </patternFill>
      </fill>
    </dxf>
  </dxfs>
  <colors>
    <indexedColors>
      <rgbColor rgb="FF000000"/>
      <rgbColor rgb="FFFFFFFF"/>
      <rgbColor rgb="FFFF0000"/>
      <rgbColor rgb="FFFDEDEC"/>
      <rgbColor rgb="FF0000FF"/>
      <rgbColor rgb="FFFDEBD0"/>
      <rgbColor rgb="FFFF00FF"/>
      <rgbColor rgb="FFE8ECF0"/>
      <rgbColor rgb="FF9C0006"/>
      <rgbColor rgb="FF276221"/>
      <rgbColor rgb="FF145A32"/>
      <rgbColor rgb="FF7D6608"/>
      <rgbColor rgb="FF784212"/>
      <rgbColor rgb="FF1A7A6E"/>
      <rgbColor rgb="FFB2BEC3"/>
      <rgbColor rgb="FF9C6500"/>
      <rgbColor rgb="FFA9DFBF"/>
      <rgbColor rgb="FF6E2FA0"/>
      <rgbColor rgb="FFFEF9E7"/>
      <rgbColor rgb="FFD5F5F1"/>
      <rgbColor rgb="FF444444"/>
      <rgbColor rgb="FFF1948A"/>
      <rgbColor rgb="FF1155CC"/>
      <rgbColor rgb="FFD7BDE2"/>
      <rgbColor rgb="FF1F618D"/>
      <rgbColor rgb="FFFF00FF"/>
      <rgbColor rgb="FFC6EFCE"/>
      <rgbColor rgb="FFEEF4FC"/>
      <rgbColor rgb="FF800080"/>
      <rgbColor rgb="FF7B241C"/>
      <rgbColor rgb="FF2874A6"/>
      <rgbColor rgb="FF0000FF"/>
      <rgbColor rgb="FFD6E4F7"/>
      <rgbColor rgb="FFD6EAF8"/>
      <rgbColor rgb="FFD5F5E3"/>
      <rgbColor rgb="FFFFEB9C"/>
      <rgbColor rgb="FFAED6F1"/>
      <rgbColor rgb="FFF0B27A"/>
      <rgbColor rgb="FFCCCCCC"/>
      <rgbColor rgb="FFFFDAB9"/>
      <rgbColor rgb="FF2E5DA6"/>
      <rgbColor rgb="FF3498DB"/>
      <rgbColor rgb="FFE2E2E2"/>
      <rgbColor rgb="FFFFC7CE"/>
      <rgbColor rgb="FFE8D5F5"/>
      <rgbColor rgb="FFF0E6FA"/>
      <rgbColor rgb="FF555555"/>
      <rgbColor rgb="FFAAAAAA"/>
      <rgbColor rgb="FF1A3A5C"/>
      <rgbColor rgb="FF2E86C1"/>
      <rgbColor rgb="FF1B2A4A"/>
      <rgbColor rgb="FF1A1A1A"/>
      <rgbColor rgb="FF8B4513"/>
      <rgbColor rgb="FF6B2FA0"/>
      <rgbColor rgb="FF1A5276"/>
      <rgbColor rgb="FF2E40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hyperlink" Target="https://www.nngroup.com/articles/ux-research-buy-in/" TargetMode="External"/><Relationship Id="rId2" Type="http://schemas.openxmlformats.org/officeDocument/2006/relationships/hyperlink" Target="https://www.nngroup.com/articles/research-learning-spirals/" TargetMode="External"/><Relationship Id="rId3" Type="http://schemas.openxmlformats.org/officeDocument/2006/relationships/hyperlink" Target="https://uxdesign.cc/how-to-align-stakeholders-on-ux-research-goals-8a6f9e4f7f93" TargetMode="External"/><Relationship Id="rId4" Type="http://schemas.openxmlformats.org/officeDocument/2006/relationships/hyperlink" Target="https://maze.co/guides/ux-research/" TargetMode="External"/><Relationship Id="rId5" Type="http://schemas.openxmlformats.org/officeDocument/2006/relationships/hyperlink" Target="https://researchops.community/" TargetMode="External"/><Relationship Id="rId6" Type="http://schemas.openxmlformats.org/officeDocument/2006/relationships/hyperlink" Target="https://www.nngroup.com/articles/documenting-ux-research/" TargetMode="External"/><Relationship Id="rId7" Type="http://schemas.openxmlformats.org/officeDocument/2006/relationships/hyperlink" Target="https://www.nngroup.com/articles/research-questions/" TargetMode="External"/><Relationship Id="rId8" Type="http://schemas.openxmlformats.org/officeDocument/2006/relationships/hyperlink" Target="https://www.usability.gov/how-to-and-tools/methods/usability-testing.html" TargetMode="External"/><Relationship Id="rId9" Type="http://schemas.openxmlformats.org/officeDocument/2006/relationships/hyperlink" Target="https://www.interaction-design.org/literature/topics/usability-testing" TargetMode="External"/><Relationship Id="rId10" Type="http://schemas.openxmlformats.org/officeDocument/2006/relationships/hyperlink" Target="https://www.nngroup.com/articles/measuring-perceived-usability/" TargetMode="External"/><Relationship Id="rId11" Type="http://schemas.openxmlformats.org/officeDocument/2006/relationships/hyperlink" Target="https://www.nngroup.com/articles/benchmarking-ux/" TargetMode="External"/><Relationship Id="rId12" Type="http://schemas.openxmlformats.org/officeDocument/2006/relationships/hyperlink" Target="https://dovetail.com/ux-research/usability-testing/" TargetMode="External"/><Relationship Id="rId13" Type="http://schemas.openxmlformats.org/officeDocument/2006/relationships/hyperlink" Target="https://www.nngroup.com/articles/task-scenarios-usability-testing/" TargetMode="External"/><Relationship Id="rId14" Type="http://schemas.openxmlformats.org/officeDocument/2006/relationships/hyperlink" Target="https://www.nngroup.com/articles/priming/" TargetMode="External"/><Relationship Id="rId15" Type="http://schemas.openxmlformats.org/officeDocument/2006/relationships/hyperlink" Target="https://www.usability.gov/how-to-and-tools/methods/task-development.html" TargetMode="External"/><Relationship Id="rId16" Type="http://schemas.openxmlformats.org/officeDocument/2006/relationships/hyperlink" Target="https://www.nngroup.com/articles/pilot-testing/" TargetMode="External"/><Relationship Id="rId17" Type="http://schemas.openxmlformats.org/officeDocument/2006/relationships/hyperlink" Target="https://maze.co/guides/usability-testing/" TargetMode="External"/><Relationship Id="rId18" Type="http://schemas.openxmlformats.org/officeDocument/2006/relationships/hyperlink" Target="https://www.interaction-design.org/literature/topics/usability-testing" TargetMode="External"/><Relationship Id="rId19" Type="http://schemas.openxmlformats.org/officeDocument/2006/relationships/hyperlink" Target="https://www.nngroup.com/articles/recruiting-usability-study-participants/" TargetMode="External"/><Relationship Id="rId20" Type="http://schemas.openxmlformats.org/officeDocument/2006/relationships/hyperlink" Target="https://www.nngroup.com/articles/how-many-test-users/" TargetMode="External"/><Relationship Id="rId21" Type="http://schemas.openxmlformats.org/officeDocument/2006/relationships/hyperlink" Target="https://www.userzoom.com/ux-library/how-to-recruit-participants-for-usability-testing/" TargetMode="External"/><Relationship Id="rId22" Type="http://schemas.openxmlformats.org/officeDocument/2006/relationships/hyperlink" Target="https://dovetail.com/ux-research/usability-testing/" TargetMode="External"/><Relationship Id="rId23" Type="http://schemas.openxmlformats.org/officeDocument/2006/relationships/hyperlink" Target="https://www.nngroup.com/articles/recruiting-usability-study-participants/" TargetMode="External"/><Relationship Id="rId24" Type="http://schemas.openxmlformats.org/officeDocument/2006/relationships/hyperlink" Target="https://researchops.community/" TargetMode="External"/><Relationship Id="rId25" Type="http://schemas.openxmlformats.org/officeDocument/2006/relationships/hyperlink" Target="https://www.nngroup.com/articles/success-rate-the-simplest-usability-metric/" TargetMode="External"/><Relationship Id="rId26" Type="http://schemas.openxmlformats.org/officeDocument/2006/relationships/hyperlink" Target="https://www.nngroup.com/articles/taking-notes-user-research/" TargetMode="External"/><Relationship Id="rId27" Type="http://schemas.openxmlformats.org/officeDocument/2006/relationships/hyperlink" Target="https://www.usability.gov/how-to-and-tools/methods/system-usability-scale.html" TargetMode="External"/><Relationship Id="rId28" Type="http://schemas.openxmlformats.org/officeDocument/2006/relationships/hyperlink" Target="https://www.nngroup.com/articles/observer-role-in-usability-testing/" TargetMode="External"/><Relationship Id="rId29" Type="http://schemas.openxmlformats.org/officeDocument/2006/relationships/hyperlink" Target="https://maze.co/guides/usability-testing/remote-usability-testing/" TargetMode="External"/><Relationship Id="rId30" Type="http://schemas.openxmlformats.org/officeDocument/2006/relationships/hyperlink" Target="https://www.nngroup.com/articles/debrief-usability-tests/" TargetMode="External"/><Relationship Id="rId31" Type="http://schemas.openxmlformats.org/officeDocument/2006/relationships/hyperlink" Target="https://www.nngroup.com/articles/affinity-diagram/" TargetMode="External"/><Relationship Id="rId32" Type="http://schemas.openxmlformats.org/officeDocument/2006/relationships/hyperlink" Target="https://www.nngroup.com/articles/success-rate-the-simplest-usability-metric/" TargetMode="External"/><Relationship Id="rId33" Type="http://schemas.openxmlformats.org/officeDocument/2006/relationships/hyperlink" Target="https://www.nngroup.com/articles/how-to-rate-the-severity-of-usability-problems/" TargetMode="External"/><Relationship Id="rId34" Type="http://schemas.openxmlformats.org/officeDocument/2006/relationships/hyperlink" Target="https://www.interaction-design.org/literature/topics/usability-testing" TargetMode="External"/><Relationship Id="rId35" Type="http://schemas.openxmlformats.org/officeDocument/2006/relationships/hyperlink" Target="https://www.nngroup.com/articles/ux-research-collaborators/" TargetMode="External"/><Relationship Id="rId36" Type="http://schemas.openxmlformats.org/officeDocument/2006/relationships/hyperlink" Target="https://dovetail.com/ux-research/ux-research-report/" TargetMode="External"/><Relationship Id="rId37" Type="http://schemas.openxmlformats.org/officeDocument/2006/relationships/hyperlink" Target="https://www.nngroup.com/articles/communicating-user-research/" TargetMode="External"/><Relationship Id="rId38" Type="http://schemas.openxmlformats.org/officeDocument/2006/relationships/hyperlink" Target="https://www.nngroup.com/articles/user-testing-highlight-reel/" TargetMode="External"/><Relationship Id="rId39" Type="http://schemas.openxmlformats.org/officeDocument/2006/relationships/hyperlink" Target="https://uxdesign.cc/how-to-write-a-ux-research-report-that-people-will-actually-read-12a9e4a94b2f" TargetMode="External"/><Relationship Id="rId40" Type="http://schemas.openxmlformats.org/officeDocument/2006/relationships/hyperlink" Target="https://www.nngroup.com/articles/ux-research-buy-in/" TargetMode="External"/><Relationship Id="rId41" Type="http://schemas.openxmlformats.org/officeDocument/2006/relationships/hyperlink" Target="https://dovetail.com/research/building-a-research-repository/" TargetMode="External"/><Relationship Id="rId42" Type="http://schemas.openxmlformats.org/officeDocument/2006/relationships/hyperlink" Target="https://researchops.community/" TargetMode="External"/><Relationship Id="rId43" Type="http://schemas.openxmlformats.org/officeDocument/2006/relationships/hyperlink" Target="https://www.nngroup.com/articles/tag/usability-testing/" TargetMode="External"/><Relationship Id="rId44" Type="http://schemas.openxmlformats.org/officeDocument/2006/relationships/hyperlink" Target="https://www.usability.gov/how-to-and-tools/methods/usability-testing.html" TargetMode="External"/><Relationship Id="rId45" Type="http://schemas.openxmlformats.org/officeDocument/2006/relationships/hyperlink" Target="https://www.interaction-design.org/literature/topics/usability-testing" TargetMode="External"/><Relationship Id="rId46" Type="http://schemas.openxmlformats.org/officeDocument/2006/relationships/hyperlink" Target="https://maze.co/guides/usability-testing/" TargetMode="External"/><Relationship Id="rId47" Type="http://schemas.openxmlformats.org/officeDocument/2006/relationships/hyperlink" Target="https://dovetail.com/ux-research/usability-testing/" TargetMode="External"/><Relationship Id="rId48" Type="http://schemas.openxmlformats.org/officeDocument/2006/relationships/hyperlink" Target="https://www.sensible.com/rocket-surgery-made-easy.html" TargetMode="External"/><Relationship Id="rId49" Type="http://schemas.openxmlformats.org/officeDocument/2006/relationships/hyperlink" Target="https://researchops.community/" TargetMode="External"/><Relationship Id="rId50" Type="http://schemas.openxmlformats.org/officeDocument/2006/relationships/hyperlink" Target="https://www.usability.gov/how-to-and-tools/methods/system-usability-scale.html" TargetMode="External"/><Relationship Id="rId51" Type="http://schemas.openxmlformats.org/officeDocument/2006/relationships/hyperlink" Target="https://www.nngroup.com/articles/measuring-perceived-usability/" TargetMode="External"/><Relationship Id="rId52" Type="http://schemas.openxmlformats.org/officeDocument/2006/relationships/hyperlink" Target="https://www.w3.org/TR/WCAG2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1" width="3"/>
    <col collapsed="false" customWidth="true" hidden="false" outlineLevel="0" max="3" min="3" style="1" width="60"/>
    <col collapsed="false" customWidth="true" hidden="false" outlineLevel="0" max="4" min="4" style="1" width="42"/>
    <col collapsed="false" customWidth="true" hidden="false" outlineLevel="0" max="5" min="5" style="1" width="3"/>
  </cols>
  <sheetData>
    <row r="1" customFormat="false" ht="43.5" hidden="false" customHeight="true" outlineLevel="0" collapsed="false">
      <c r="B1" s="2" t="s">
        <v>0</v>
      </c>
      <c r="C1" s="2"/>
      <c r="D1" s="2"/>
    </row>
    <row r="2" customFormat="false" ht="24" hidden="false" customHeight="true" outlineLevel="0" collapsed="false">
      <c r="B2" s="3" t="s">
        <v>1</v>
      </c>
      <c r="C2" s="3"/>
      <c r="D2" s="3"/>
    </row>
    <row r="3" customFormat="false" ht="19.5" hidden="false" customHeight="true" outlineLevel="0" collapsed="false">
      <c r="B3" s="3" t="s">
        <v>2</v>
      </c>
      <c r="C3" s="3"/>
      <c r="D3" s="3"/>
    </row>
    <row r="4" customFormat="false" ht="9.75" hidden="false" customHeight="true" outlineLevel="0" collapsed="false"/>
    <row r="5" customFormat="false" ht="27.75" hidden="false" customHeight="true" outlineLevel="0" collapsed="false">
      <c r="C5" s="4" t="s">
        <v>3</v>
      </c>
      <c r="D5" s="4" t="s">
        <v>4</v>
      </c>
    </row>
    <row r="6" customFormat="false" ht="27.75" hidden="false" customHeight="true" outlineLevel="0" collapsed="false">
      <c r="C6" s="5" t="s">
        <v>5</v>
      </c>
      <c r="D6" s="5"/>
    </row>
    <row r="7" customFormat="false" ht="31.5" hidden="false" customHeight="true" outlineLevel="0" collapsed="false">
      <c r="B7" s="6" t="s">
        <v>6</v>
      </c>
      <c r="C7" s="7" t="s">
        <v>7</v>
      </c>
      <c r="D7" s="8"/>
    </row>
    <row r="8" customFormat="false" ht="31.5" hidden="false" customHeight="true" outlineLevel="0" collapsed="false">
      <c r="B8" s="9" t="s">
        <v>6</v>
      </c>
      <c r="C8" s="10" t="s">
        <v>8</v>
      </c>
      <c r="D8" s="8"/>
    </row>
    <row r="9" customFormat="false" ht="31.5" hidden="false" customHeight="true" outlineLevel="0" collapsed="false">
      <c r="B9" s="6" t="s">
        <v>6</v>
      </c>
      <c r="C9" s="7" t="s">
        <v>9</v>
      </c>
      <c r="D9" s="8"/>
    </row>
    <row r="10" customFormat="false" ht="31.5" hidden="false" customHeight="true" outlineLevel="0" collapsed="false">
      <c r="B10" s="9" t="s">
        <v>6</v>
      </c>
      <c r="C10" s="10" t="s">
        <v>10</v>
      </c>
      <c r="D10" s="8"/>
    </row>
    <row r="11" customFormat="false" ht="31.5" hidden="false" customHeight="true" outlineLevel="0" collapsed="false">
      <c r="B11" s="6" t="s">
        <v>6</v>
      </c>
      <c r="C11" s="7" t="s">
        <v>11</v>
      </c>
      <c r="D11" s="8"/>
    </row>
    <row r="12" customFormat="false" ht="31.5" hidden="false" customHeight="true" outlineLevel="0" collapsed="false">
      <c r="B12" s="9" t="s">
        <v>6</v>
      </c>
      <c r="C12" s="10" t="s">
        <v>12</v>
      </c>
      <c r="D12" s="8"/>
    </row>
    <row r="13" customFormat="false" ht="7.5" hidden="false" customHeight="true" outlineLevel="0" collapsed="false">
      <c r="B13" s="11"/>
      <c r="C13" s="11"/>
      <c r="D13" s="11"/>
    </row>
    <row r="14" customFormat="false" ht="27.75" hidden="false" customHeight="true" outlineLevel="0" collapsed="false">
      <c r="C14" s="12" t="s">
        <v>13</v>
      </c>
      <c r="D14" s="12"/>
    </row>
    <row r="15" customFormat="false" ht="31.5" hidden="false" customHeight="true" outlineLevel="0" collapsed="false">
      <c r="B15" s="13" t="s">
        <v>6</v>
      </c>
      <c r="C15" s="14" t="s">
        <v>14</v>
      </c>
      <c r="D15" s="8"/>
    </row>
    <row r="16" customFormat="false" ht="31.5" hidden="false" customHeight="true" outlineLevel="0" collapsed="false">
      <c r="B16" s="15" t="s">
        <v>6</v>
      </c>
      <c r="C16" s="10" t="s">
        <v>15</v>
      </c>
      <c r="D16" s="8"/>
    </row>
    <row r="17" customFormat="false" ht="31.5" hidden="false" customHeight="true" outlineLevel="0" collapsed="false">
      <c r="B17" s="13" t="s">
        <v>6</v>
      </c>
      <c r="C17" s="14" t="s">
        <v>16</v>
      </c>
      <c r="D17" s="8"/>
    </row>
    <row r="18" customFormat="false" ht="31.5" hidden="false" customHeight="true" outlineLevel="0" collapsed="false">
      <c r="B18" s="15" t="s">
        <v>6</v>
      </c>
      <c r="C18" s="10" t="s">
        <v>17</v>
      </c>
      <c r="D18" s="8"/>
    </row>
    <row r="19" customFormat="false" ht="31.5" hidden="false" customHeight="true" outlineLevel="0" collapsed="false">
      <c r="B19" s="13" t="s">
        <v>6</v>
      </c>
      <c r="C19" s="14" t="s">
        <v>18</v>
      </c>
      <c r="D19" s="8"/>
    </row>
    <row r="20" customFormat="false" ht="31.5" hidden="false" customHeight="true" outlineLevel="0" collapsed="false">
      <c r="B20" s="15" t="s">
        <v>6</v>
      </c>
      <c r="C20" s="10" t="s">
        <v>19</v>
      </c>
      <c r="D20" s="8"/>
    </row>
    <row r="21" customFormat="false" ht="31.5" hidden="false" customHeight="true" outlineLevel="0" collapsed="false">
      <c r="B21" s="13" t="s">
        <v>6</v>
      </c>
      <c r="C21" s="14" t="s">
        <v>20</v>
      </c>
      <c r="D21" s="8"/>
    </row>
    <row r="22" customFormat="false" ht="7.5" hidden="false" customHeight="true" outlineLevel="0" collapsed="false">
      <c r="B22" s="11"/>
      <c r="C22" s="11"/>
      <c r="D22" s="11"/>
    </row>
    <row r="23" customFormat="false" ht="27.75" hidden="false" customHeight="true" outlineLevel="0" collapsed="false">
      <c r="C23" s="16" t="s">
        <v>21</v>
      </c>
      <c r="D23" s="16"/>
    </row>
    <row r="24" customFormat="false" ht="31.5" hidden="false" customHeight="true" outlineLevel="0" collapsed="false">
      <c r="B24" s="17" t="s">
        <v>6</v>
      </c>
      <c r="C24" s="18" t="s">
        <v>22</v>
      </c>
      <c r="D24" s="8"/>
    </row>
    <row r="25" customFormat="false" ht="31.5" hidden="false" customHeight="true" outlineLevel="0" collapsed="false">
      <c r="B25" s="19" t="s">
        <v>6</v>
      </c>
      <c r="C25" s="10" t="s">
        <v>23</v>
      </c>
      <c r="D25" s="8"/>
    </row>
    <row r="26" customFormat="false" ht="31.5" hidden="false" customHeight="true" outlineLevel="0" collapsed="false">
      <c r="B26" s="17" t="s">
        <v>6</v>
      </c>
      <c r="C26" s="18" t="s">
        <v>24</v>
      </c>
      <c r="D26" s="8"/>
    </row>
    <row r="27" customFormat="false" ht="31.5" hidden="false" customHeight="true" outlineLevel="0" collapsed="false">
      <c r="B27" s="19" t="s">
        <v>6</v>
      </c>
      <c r="C27" s="10" t="s">
        <v>25</v>
      </c>
      <c r="D27" s="8"/>
    </row>
    <row r="28" customFormat="false" ht="31.5" hidden="false" customHeight="true" outlineLevel="0" collapsed="false">
      <c r="B28" s="17" t="s">
        <v>6</v>
      </c>
      <c r="C28" s="18" t="s">
        <v>26</v>
      </c>
      <c r="D28" s="8"/>
    </row>
    <row r="29" customFormat="false" ht="31.5" hidden="false" customHeight="true" outlineLevel="0" collapsed="false">
      <c r="B29" s="19" t="s">
        <v>6</v>
      </c>
      <c r="C29" s="10" t="s">
        <v>27</v>
      </c>
      <c r="D29" s="8"/>
    </row>
    <row r="30" customFormat="false" ht="31.5" hidden="false" customHeight="true" outlineLevel="0" collapsed="false">
      <c r="B30" s="17" t="s">
        <v>6</v>
      </c>
      <c r="C30" s="18" t="s">
        <v>28</v>
      </c>
      <c r="D30" s="8"/>
    </row>
    <row r="31" customFormat="false" ht="31.5" hidden="false" customHeight="true" outlineLevel="0" collapsed="false">
      <c r="B31" s="19" t="s">
        <v>6</v>
      </c>
      <c r="C31" s="10" t="s">
        <v>29</v>
      </c>
      <c r="D31" s="8"/>
    </row>
    <row r="32" customFormat="false" ht="31.5" hidden="false" customHeight="true" outlineLevel="0" collapsed="false">
      <c r="B32" s="17" t="s">
        <v>6</v>
      </c>
      <c r="C32" s="18" t="s">
        <v>30</v>
      </c>
      <c r="D32" s="8"/>
    </row>
    <row r="33" customFormat="false" ht="31.5" hidden="false" customHeight="true" outlineLevel="0" collapsed="false">
      <c r="B33" s="19" t="s">
        <v>6</v>
      </c>
      <c r="C33" s="10" t="s">
        <v>31</v>
      </c>
      <c r="D33" s="8"/>
    </row>
    <row r="34" customFormat="false" ht="7.5" hidden="false" customHeight="true" outlineLevel="0" collapsed="false">
      <c r="B34" s="11"/>
      <c r="C34" s="11"/>
      <c r="D34" s="11"/>
    </row>
    <row r="35" customFormat="false" ht="27.75" hidden="false" customHeight="true" outlineLevel="0" collapsed="false">
      <c r="C35" s="20" t="s">
        <v>32</v>
      </c>
      <c r="D35" s="20"/>
    </row>
    <row r="36" customFormat="false" ht="31.5" hidden="false" customHeight="true" outlineLevel="0" collapsed="false">
      <c r="B36" s="21" t="s">
        <v>6</v>
      </c>
      <c r="C36" s="22" t="s">
        <v>33</v>
      </c>
      <c r="D36" s="8"/>
    </row>
    <row r="37" customFormat="false" ht="31.5" hidden="false" customHeight="true" outlineLevel="0" collapsed="false">
      <c r="B37" s="23" t="s">
        <v>6</v>
      </c>
      <c r="C37" s="10" t="s">
        <v>34</v>
      </c>
      <c r="D37" s="8"/>
    </row>
    <row r="38" customFormat="false" ht="31.5" hidden="false" customHeight="true" outlineLevel="0" collapsed="false">
      <c r="B38" s="21" t="s">
        <v>6</v>
      </c>
      <c r="C38" s="22" t="s">
        <v>35</v>
      </c>
      <c r="D38" s="8"/>
    </row>
    <row r="39" customFormat="false" ht="31.5" hidden="false" customHeight="true" outlineLevel="0" collapsed="false">
      <c r="B39" s="23" t="s">
        <v>6</v>
      </c>
      <c r="C39" s="10" t="s">
        <v>36</v>
      </c>
      <c r="D39" s="8"/>
    </row>
    <row r="40" customFormat="false" ht="31.5" hidden="false" customHeight="true" outlineLevel="0" collapsed="false">
      <c r="B40" s="21" t="s">
        <v>6</v>
      </c>
      <c r="C40" s="22" t="s">
        <v>37</v>
      </c>
      <c r="D40" s="8"/>
    </row>
    <row r="41" customFormat="false" ht="31.5" hidden="false" customHeight="true" outlineLevel="0" collapsed="false">
      <c r="B41" s="23" t="s">
        <v>6</v>
      </c>
      <c r="C41" s="10" t="s">
        <v>38</v>
      </c>
      <c r="D41" s="8"/>
    </row>
    <row r="42" customFormat="false" ht="31.5" hidden="false" customHeight="true" outlineLevel="0" collapsed="false">
      <c r="B42" s="21" t="s">
        <v>6</v>
      </c>
      <c r="C42" s="22" t="s">
        <v>39</v>
      </c>
      <c r="D42" s="8"/>
    </row>
    <row r="43" customFormat="false" ht="31.5" hidden="false" customHeight="true" outlineLevel="0" collapsed="false">
      <c r="B43" s="23" t="s">
        <v>6</v>
      </c>
      <c r="C43" s="10" t="s">
        <v>40</v>
      </c>
      <c r="D43" s="8"/>
    </row>
    <row r="44" customFormat="false" ht="31.5" hidden="false" customHeight="true" outlineLevel="0" collapsed="false">
      <c r="B44" s="21" t="s">
        <v>6</v>
      </c>
      <c r="C44" s="22" t="s">
        <v>41</v>
      </c>
      <c r="D44" s="8"/>
    </row>
    <row r="45" customFormat="false" ht="7.5" hidden="false" customHeight="true" outlineLevel="0" collapsed="false">
      <c r="B45" s="11"/>
      <c r="C45" s="11"/>
      <c r="D45" s="11"/>
    </row>
    <row r="46" customFormat="false" ht="27.75" hidden="false" customHeight="true" outlineLevel="0" collapsed="false">
      <c r="C46" s="5" t="s">
        <v>42</v>
      </c>
      <c r="D46" s="5"/>
    </row>
    <row r="47" customFormat="false" ht="31.5" hidden="false" customHeight="true" outlineLevel="0" collapsed="false">
      <c r="B47" s="6" t="s">
        <v>6</v>
      </c>
      <c r="C47" s="7" t="s">
        <v>43</v>
      </c>
      <c r="D47" s="8"/>
    </row>
    <row r="48" customFormat="false" ht="31.5" hidden="false" customHeight="true" outlineLevel="0" collapsed="false">
      <c r="B48" s="9" t="s">
        <v>6</v>
      </c>
      <c r="C48" s="10" t="s">
        <v>44</v>
      </c>
      <c r="D48" s="8"/>
    </row>
    <row r="49" customFormat="false" ht="31.5" hidden="false" customHeight="true" outlineLevel="0" collapsed="false">
      <c r="B49" s="6" t="s">
        <v>6</v>
      </c>
      <c r="C49" s="7" t="s">
        <v>45</v>
      </c>
      <c r="D49" s="8"/>
    </row>
    <row r="50" customFormat="false" ht="31.5" hidden="false" customHeight="true" outlineLevel="0" collapsed="false">
      <c r="B50" s="9" t="s">
        <v>6</v>
      </c>
      <c r="C50" s="10" t="s">
        <v>46</v>
      </c>
      <c r="D50" s="8"/>
    </row>
    <row r="51" customFormat="false" ht="31.5" hidden="false" customHeight="true" outlineLevel="0" collapsed="false">
      <c r="B51" s="6" t="s">
        <v>6</v>
      </c>
      <c r="C51" s="7" t="s">
        <v>47</v>
      </c>
      <c r="D51" s="8"/>
    </row>
    <row r="52" customFormat="false" ht="31.5" hidden="false" customHeight="true" outlineLevel="0" collapsed="false">
      <c r="B52" s="9" t="s">
        <v>6</v>
      </c>
      <c r="C52" s="10" t="s">
        <v>48</v>
      </c>
      <c r="D52" s="8"/>
    </row>
    <row r="53" customFormat="false" ht="31.5" hidden="false" customHeight="true" outlineLevel="0" collapsed="false">
      <c r="B53" s="6" t="s">
        <v>6</v>
      </c>
      <c r="C53" s="7" t="s">
        <v>49</v>
      </c>
      <c r="D53" s="8"/>
    </row>
    <row r="54" customFormat="false" ht="31.5" hidden="false" customHeight="true" outlineLevel="0" collapsed="false">
      <c r="B54" s="9" t="s">
        <v>6</v>
      </c>
      <c r="C54" s="10" t="s">
        <v>50</v>
      </c>
      <c r="D54" s="8"/>
    </row>
    <row r="55" customFormat="false" ht="7.5" hidden="false" customHeight="true" outlineLevel="0" collapsed="false">
      <c r="B55" s="11"/>
      <c r="C55" s="11"/>
      <c r="D55" s="11"/>
    </row>
    <row r="56" customFormat="false" ht="27.75" hidden="false" customHeight="true" outlineLevel="0" collapsed="false">
      <c r="C56" s="24" t="s">
        <v>51</v>
      </c>
      <c r="D56" s="24"/>
    </row>
    <row r="57" customFormat="false" ht="31.5" hidden="false" customHeight="true" outlineLevel="0" collapsed="false">
      <c r="B57" s="25" t="s">
        <v>6</v>
      </c>
      <c r="C57" s="26" t="s">
        <v>52</v>
      </c>
      <c r="D57" s="8"/>
    </row>
    <row r="58" customFormat="false" ht="31.5" hidden="false" customHeight="true" outlineLevel="0" collapsed="false">
      <c r="B58" s="27" t="s">
        <v>6</v>
      </c>
      <c r="C58" s="10" t="s">
        <v>53</v>
      </c>
      <c r="D58" s="8"/>
    </row>
    <row r="59" customFormat="false" ht="31.5" hidden="false" customHeight="true" outlineLevel="0" collapsed="false">
      <c r="B59" s="25" t="s">
        <v>6</v>
      </c>
      <c r="C59" s="26" t="s">
        <v>54</v>
      </c>
      <c r="D59" s="8"/>
    </row>
    <row r="60" customFormat="false" ht="31.5" hidden="false" customHeight="true" outlineLevel="0" collapsed="false">
      <c r="B60" s="27" t="s">
        <v>6</v>
      </c>
      <c r="C60" s="10" t="s">
        <v>55</v>
      </c>
      <c r="D60" s="8"/>
    </row>
    <row r="61" customFormat="false" ht="31.5" hidden="false" customHeight="true" outlineLevel="0" collapsed="false">
      <c r="B61" s="25" t="s">
        <v>6</v>
      </c>
      <c r="C61" s="26" t="s">
        <v>56</v>
      </c>
      <c r="D61" s="8"/>
    </row>
    <row r="62" customFormat="false" ht="31.5" hidden="false" customHeight="true" outlineLevel="0" collapsed="false">
      <c r="B62" s="27" t="s">
        <v>6</v>
      </c>
      <c r="C62" s="10" t="s">
        <v>57</v>
      </c>
      <c r="D62" s="8"/>
    </row>
    <row r="63" customFormat="false" ht="31.5" hidden="false" customHeight="true" outlineLevel="0" collapsed="false">
      <c r="B63" s="25" t="s">
        <v>6</v>
      </c>
      <c r="C63" s="26" t="s">
        <v>58</v>
      </c>
      <c r="D63" s="8"/>
    </row>
    <row r="64" customFormat="false" ht="7.5" hidden="false" customHeight="true" outlineLevel="0" collapsed="false">
      <c r="B64" s="11"/>
      <c r="C64" s="11"/>
      <c r="D64" s="11"/>
    </row>
    <row r="65" customFormat="false" ht="27.75" hidden="false" customHeight="true" outlineLevel="0" collapsed="false">
      <c r="C65" s="12" t="s">
        <v>59</v>
      </c>
      <c r="D65" s="12"/>
    </row>
    <row r="66" customFormat="false" ht="31.5" hidden="false" customHeight="true" outlineLevel="0" collapsed="false">
      <c r="B66" s="13" t="s">
        <v>6</v>
      </c>
      <c r="C66" s="14" t="s">
        <v>60</v>
      </c>
      <c r="D66" s="8"/>
    </row>
    <row r="67" customFormat="false" ht="31.5" hidden="false" customHeight="true" outlineLevel="0" collapsed="false">
      <c r="B67" s="15" t="s">
        <v>6</v>
      </c>
      <c r="C67" s="10" t="s">
        <v>61</v>
      </c>
      <c r="D67" s="8"/>
    </row>
    <row r="68" customFormat="false" ht="31.5" hidden="false" customHeight="true" outlineLevel="0" collapsed="false">
      <c r="B68" s="13" t="s">
        <v>6</v>
      </c>
      <c r="C68" s="14" t="s">
        <v>62</v>
      </c>
      <c r="D68" s="8"/>
    </row>
    <row r="69" customFormat="false" ht="31.5" hidden="false" customHeight="true" outlineLevel="0" collapsed="false">
      <c r="B69" s="15" t="s">
        <v>6</v>
      </c>
      <c r="C69" s="10" t="s">
        <v>63</v>
      </c>
      <c r="D69" s="8"/>
    </row>
    <row r="70" customFormat="false" ht="31.5" hidden="false" customHeight="true" outlineLevel="0" collapsed="false">
      <c r="B70" s="13" t="s">
        <v>6</v>
      </c>
      <c r="C70" s="14" t="s">
        <v>64</v>
      </c>
      <c r="D70" s="8"/>
    </row>
    <row r="71" customFormat="false" ht="31.5" hidden="false" customHeight="true" outlineLevel="0" collapsed="false">
      <c r="B71" s="15" t="s">
        <v>6</v>
      </c>
      <c r="C71" s="10" t="s">
        <v>65</v>
      </c>
      <c r="D71" s="8"/>
    </row>
    <row r="72" customFormat="false" ht="7.5" hidden="false" customHeight="true" outlineLevel="0" collapsed="false">
      <c r="B72" s="11"/>
      <c r="C72" s="11"/>
      <c r="D72" s="11"/>
    </row>
    <row r="73" customFormat="false" ht="27.75" hidden="false" customHeight="true" outlineLevel="0" collapsed="false">
      <c r="C73" s="28" t="s">
        <v>66</v>
      </c>
      <c r="D73" s="28"/>
    </row>
    <row r="74" customFormat="false" ht="31.5" hidden="false" customHeight="true" outlineLevel="0" collapsed="false">
      <c r="B74" s="29" t="s">
        <v>6</v>
      </c>
      <c r="C74" s="30" t="s">
        <v>67</v>
      </c>
      <c r="D74" s="8"/>
    </row>
    <row r="75" customFormat="false" ht="31.5" hidden="false" customHeight="true" outlineLevel="0" collapsed="false">
      <c r="B75" s="31" t="s">
        <v>6</v>
      </c>
      <c r="C75" s="10" t="s">
        <v>68</v>
      </c>
      <c r="D75" s="8"/>
    </row>
    <row r="76" customFormat="false" ht="31.5" hidden="false" customHeight="true" outlineLevel="0" collapsed="false">
      <c r="B76" s="29" t="s">
        <v>6</v>
      </c>
      <c r="C76" s="30" t="s">
        <v>69</v>
      </c>
      <c r="D76" s="8"/>
    </row>
    <row r="77" customFormat="false" ht="31.5" hidden="false" customHeight="true" outlineLevel="0" collapsed="false">
      <c r="B77" s="31" t="s">
        <v>6</v>
      </c>
      <c r="C77" s="10" t="s">
        <v>70</v>
      </c>
      <c r="D77" s="8"/>
    </row>
    <row r="78" customFormat="false" ht="31.5" hidden="false" customHeight="true" outlineLevel="0" collapsed="false">
      <c r="B78" s="29" t="s">
        <v>6</v>
      </c>
      <c r="C78" s="30" t="s">
        <v>71</v>
      </c>
      <c r="D78" s="8"/>
    </row>
    <row r="79" customFormat="false" ht="7.5" hidden="false" customHeight="true" outlineLevel="0" collapsed="false">
      <c r="B79" s="11"/>
      <c r="C79" s="11"/>
      <c r="D79" s="11"/>
    </row>
    <row r="80" customFormat="false" ht="27.75" hidden="false" customHeight="true" outlineLevel="0" collapsed="false">
      <c r="C80" s="5" t="s">
        <v>72</v>
      </c>
      <c r="D80" s="5"/>
    </row>
    <row r="81" customFormat="false" ht="31.5" hidden="false" customHeight="true" outlineLevel="0" collapsed="false">
      <c r="B81" s="6" t="s">
        <v>6</v>
      </c>
      <c r="C81" s="7" t="s">
        <v>73</v>
      </c>
      <c r="D81" s="8"/>
    </row>
    <row r="82" customFormat="false" ht="31.5" hidden="false" customHeight="true" outlineLevel="0" collapsed="false">
      <c r="B82" s="9" t="s">
        <v>6</v>
      </c>
      <c r="C82" s="10" t="s">
        <v>74</v>
      </c>
      <c r="D82" s="8"/>
    </row>
    <row r="83" customFormat="false" ht="31.5" hidden="false" customHeight="true" outlineLevel="0" collapsed="false">
      <c r="B83" s="6" t="s">
        <v>6</v>
      </c>
      <c r="C83" s="7" t="s">
        <v>75</v>
      </c>
      <c r="D83" s="8"/>
    </row>
    <row r="84" customFormat="false" ht="31.5" hidden="false" customHeight="true" outlineLevel="0" collapsed="false">
      <c r="B84" s="9" t="s">
        <v>6</v>
      </c>
      <c r="C84" s="10" t="s">
        <v>76</v>
      </c>
      <c r="D84" s="8"/>
    </row>
    <row r="85" customFormat="false" ht="7.5" hidden="false" customHeight="true" outlineLevel="0" collapsed="false">
      <c r="B85" s="11"/>
      <c r="C85" s="11"/>
      <c r="D85" s="11"/>
    </row>
    <row r="87" customFormat="false" ht="25.5" hidden="false" customHeight="true" outlineLevel="0" collapsed="false">
      <c r="B87" s="32" t="s">
        <v>77</v>
      </c>
      <c r="C87" s="32"/>
      <c r="D87" s="32"/>
    </row>
    <row r="88" customFormat="false" ht="36" hidden="false" customHeight="true" outlineLevel="0" collapsed="false">
      <c r="B88" s="33" t="s">
        <v>78</v>
      </c>
      <c r="C88" s="33"/>
      <c r="D88" s="33"/>
    </row>
    <row r="89" customFormat="false" ht="36" hidden="false" customHeight="true" outlineLevel="0" collapsed="false">
      <c r="B89" s="34" t="s">
        <v>79</v>
      </c>
      <c r="C89" s="34"/>
      <c r="D89" s="34"/>
    </row>
    <row r="90" customFormat="false" ht="36" hidden="false" customHeight="true" outlineLevel="0" collapsed="false">
      <c r="B90" s="33" t="s">
        <v>80</v>
      </c>
      <c r="C90" s="33"/>
      <c r="D90" s="33"/>
    </row>
    <row r="91" customFormat="false" ht="36" hidden="false" customHeight="true" outlineLevel="0" collapsed="false">
      <c r="B91" s="34" t="s">
        <v>81</v>
      </c>
      <c r="C91" s="34"/>
      <c r="D91" s="34"/>
    </row>
    <row r="92" customFormat="false" ht="36" hidden="false" customHeight="true" outlineLevel="0" collapsed="false">
      <c r="B92" s="33" t="s">
        <v>82</v>
      </c>
      <c r="C92" s="33"/>
      <c r="D92" s="33"/>
    </row>
  </sheetData>
  <mergeCells count="18">
    <mergeCell ref="B1:D1"/>
    <mergeCell ref="B2:D2"/>
    <mergeCell ref="B3:D3"/>
    <mergeCell ref="C6:D6"/>
    <mergeCell ref="C14:D14"/>
    <mergeCell ref="C23:D23"/>
    <mergeCell ref="C35:D35"/>
    <mergeCell ref="C46:D46"/>
    <mergeCell ref="C56:D56"/>
    <mergeCell ref="C65:D65"/>
    <mergeCell ref="C73:D73"/>
    <mergeCell ref="C80:D80"/>
    <mergeCell ref="B87:D87"/>
    <mergeCell ref="B88:D88"/>
    <mergeCell ref="B89:D89"/>
    <mergeCell ref="B90:D90"/>
    <mergeCell ref="B91:D91"/>
    <mergeCell ref="B92:D9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7" min="3" style="1" width="16"/>
  </cols>
  <sheetData>
    <row r="1" customFormat="false" ht="39.75" hidden="false" customHeight="true" outlineLevel="0" collapsed="false">
      <c r="B1" s="35" t="s">
        <v>83</v>
      </c>
      <c r="C1" s="35"/>
      <c r="D1" s="35"/>
      <c r="E1" s="35"/>
      <c r="F1" s="35"/>
      <c r="G1" s="35"/>
    </row>
    <row r="2" customFormat="false" ht="21.75" hidden="false" customHeight="true" outlineLevel="0" collapsed="false">
      <c r="B2" s="3" t="s">
        <v>84</v>
      </c>
      <c r="C2" s="3"/>
      <c r="D2" s="3"/>
      <c r="E2" s="3"/>
      <c r="F2" s="3"/>
      <c r="G2" s="3"/>
    </row>
    <row r="3" customFormat="false" ht="24" hidden="false" customHeight="true" outlineLevel="0" collapsed="false">
      <c r="B3" s="36" t="s">
        <v>85</v>
      </c>
      <c r="C3" s="36"/>
      <c r="D3" s="36"/>
      <c r="E3" s="36"/>
      <c r="F3" s="36"/>
      <c r="G3" s="36"/>
    </row>
    <row r="4" customFormat="false" ht="30" hidden="false" customHeight="true" outlineLevel="0" collapsed="false">
      <c r="B4" s="37" t="s">
        <v>86</v>
      </c>
      <c r="C4" s="38" t="s">
        <v>87</v>
      </c>
      <c r="D4" s="39" t="s">
        <v>88</v>
      </c>
      <c r="E4" s="40" t="s">
        <v>89</v>
      </c>
      <c r="F4" s="41" t="s">
        <v>90</v>
      </c>
      <c r="G4" s="42" t="s">
        <v>91</v>
      </c>
    </row>
    <row r="5" customFormat="false" ht="24" hidden="false" customHeight="true" outlineLevel="0" collapsed="false">
      <c r="B5" s="43" t="s">
        <v>92</v>
      </c>
      <c r="C5" s="44" t="n">
        <f aca="false">COUNTIF(Data!D5:D14,"Success")</f>
        <v>0</v>
      </c>
      <c r="D5" s="44" t="n">
        <f aca="false">COUNTIF(Data!G5:G14,"Success")</f>
        <v>0</v>
      </c>
      <c r="E5" s="44" t="n">
        <f aca="false">COUNTIF(Data!J5:J14,"Success")</f>
        <v>0</v>
      </c>
      <c r="F5" s="44" t="n">
        <f aca="false">COUNTIF(Data!M5:M14,"Success")</f>
        <v>0</v>
      </c>
      <c r="G5" s="44" t="n">
        <f aca="false">COUNTIF(Data!P5:P14,"Success")</f>
        <v>0</v>
      </c>
    </row>
    <row r="6" customFormat="false" ht="24" hidden="false" customHeight="true" outlineLevel="0" collapsed="false">
      <c r="B6" s="43" t="s">
        <v>93</v>
      </c>
      <c r="C6" s="45" t="n">
        <f aca="false">COUNTIF(Data!D5:D14,"Partial Fail")</f>
        <v>0</v>
      </c>
      <c r="D6" s="45" t="n">
        <f aca="false">COUNTIF(Data!G5:G14,"Partial Fail")</f>
        <v>0</v>
      </c>
      <c r="E6" s="45" t="n">
        <f aca="false">COUNTIF(Data!J5:J14,"Partial Fail")</f>
        <v>0</v>
      </c>
      <c r="F6" s="45" t="n">
        <f aca="false">COUNTIF(Data!M5:M14,"Partial Fail")</f>
        <v>0</v>
      </c>
      <c r="G6" s="45" t="n">
        <f aca="false">COUNTIF(Data!P5:P14,"Partial Fail")</f>
        <v>0</v>
      </c>
    </row>
    <row r="7" customFormat="false" ht="24" hidden="false" customHeight="true" outlineLevel="0" collapsed="false">
      <c r="B7" s="43" t="s">
        <v>94</v>
      </c>
      <c r="C7" s="44" t="n">
        <f aca="false">COUNTIF(Data!D5:D14,"Fail")</f>
        <v>0</v>
      </c>
      <c r="D7" s="44" t="n">
        <f aca="false">COUNTIF(Data!G5:G14,"Fail")</f>
        <v>0</v>
      </c>
      <c r="E7" s="44" t="n">
        <f aca="false">COUNTIF(Data!J5:J14,"Fail")</f>
        <v>0</v>
      </c>
      <c r="F7" s="44" t="n">
        <f aca="false">COUNTIF(Data!M5:M14,"Fail")</f>
        <v>0</v>
      </c>
      <c r="G7" s="44" t="n">
        <f aca="false">COUNTIF(Data!P5:P14,"Fail")</f>
        <v>0</v>
      </c>
    </row>
    <row r="8" customFormat="false" ht="24" hidden="false" customHeight="true" outlineLevel="0" collapsed="false">
      <c r="B8" s="43" t="s">
        <v>95</v>
      </c>
      <c r="C8" s="45" t="n">
        <f aca="false">COUNTIF(Data!D5:D14,"Time Limit")</f>
        <v>0</v>
      </c>
      <c r="D8" s="45" t="n">
        <f aca="false">COUNTIF(Data!G5:G14,"Time Limit")</f>
        <v>0</v>
      </c>
      <c r="E8" s="45" t="n">
        <f aca="false">COUNTIF(Data!J5:J14,"Time Limit")</f>
        <v>0</v>
      </c>
      <c r="F8" s="45" t="n">
        <f aca="false">COUNTIF(Data!M5:M14,"Time Limit")</f>
        <v>0</v>
      </c>
      <c r="G8" s="45" t="n">
        <f aca="false">COUNTIF(Data!P5:P14,"Time Limit")</f>
        <v>0</v>
      </c>
    </row>
    <row r="9" customFormat="false" ht="24" hidden="false" customHeight="true" outlineLevel="0" collapsed="false">
      <c r="B9" s="43" t="s">
        <v>96</v>
      </c>
      <c r="C9" s="44" t="n">
        <f aca="false">COUNTIF(Data!D5:D14,"Give Up")</f>
        <v>0</v>
      </c>
      <c r="D9" s="44" t="n">
        <f aca="false">COUNTIF(Data!G5:G14,"Give Up")</f>
        <v>0</v>
      </c>
      <c r="E9" s="44" t="n">
        <f aca="false">COUNTIF(Data!J5:J14,"Give Up")</f>
        <v>0</v>
      </c>
      <c r="F9" s="44" t="n">
        <f aca="false">COUNTIF(Data!M5:M14,"Give Up")</f>
        <v>0</v>
      </c>
      <c r="G9" s="44" t="n">
        <f aca="false">COUNTIF(Data!P5:P14,"Give Up")</f>
        <v>0</v>
      </c>
    </row>
    <row r="10" customFormat="false" ht="24" hidden="false" customHeight="true" outlineLevel="0" collapsed="false">
      <c r="B10" s="43" t="s">
        <v>97</v>
      </c>
      <c r="C10" s="45" t="n">
        <f aca="false">COUNTIF(Data!D5:D14,"Technical Issues")</f>
        <v>0</v>
      </c>
      <c r="D10" s="45" t="n">
        <f aca="false">COUNTIF(Data!G5:G14,"Technical Issues")</f>
        <v>0</v>
      </c>
      <c r="E10" s="45" t="n">
        <f aca="false">COUNTIF(Data!J5:J14,"Technical Issues")</f>
        <v>0</v>
      </c>
      <c r="F10" s="45" t="n">
        <f aca="false">COUNTIF(Data!M5:M14,"Technical Issues")</f>
        <v>0</v>
      </c>
      <c r="G10" s="45" t="n">
        <f aca="false">COUNTIF(Data!P5:P14,"Technical Issues")</f>
        <v>0</v>
      </c>
    </row>
    <row r="11" customFormat="false" ht="24" hidden="false" customHeight="true" outlineLevel="0" collapsed="false">
      <c r="B11" s="43" t="s">
        <v>98</v>
      </c>
      <c r="C11" s="44" t="n">
        <f aca="false">COUNTIF(Data!D5:D14,"Other")</f>
        <v>0</v>
      </c>
      <c r="D11" s="44" t="n">
        <f aca="false">COUNTIF(Data!G5:G14,"Other")</f>
        <v>0</v>
      </c>
      <c r="E11" s="44" t="n">
        <f aca="false">COUNTIF(Data!J5:J14,"Other")</f>
        <v>0</v>
      </c>
      <c r="F11" s="44" t="n">
        <f aca="false">COUNTIF(Data!M5:M14,"Other")</f>
        <v>0</v>
      </c>
      <c r="G11" s="44" t="n">
        <f aca="false">COUNTIF(Data!P5:P14,"Other")</f>
        <v>0</v>
      </c>
    </row>
    <row r="12" customFormat="false" ht="24" hidden="false" customHeight="true" outlineLevel="0" collapsed="false">
      <c r="B12" s="43" t="s">
        <v>99</v>
      </c>
      <c r="C12" s="45" t="n">
        <f aca="false">COUNTA(Data!D5:D14)</f>
        <v>0</v>
      </c>
      <c r="D12" s="45" t="n">
        <f aca="false">COUNTA(Data!G5:G14)</f>
        <v>0</v>
      </c>
      <c r="E12" s="45" t="n">
        <f aca="false">COUNTA(Data!J5:J14)</f>
        <v>0</v>
      </c>
      <c r="F12" s="45" t="n">
        <f aca="false">COUNTA(Data!M5:M14)</f>
        <v>0</v>
      </c>
      <c r="G12" s="45" t="n">
        <f aca="false">COUNTA(Data!P5:P14)</f>
        <v>0</v>
      </c>
    </row>
    <row r="13" customFormat="false" ht="24" hidden="false" customHeight="true" outlineLevel="0" collapsed="false">
      <c r="B13" s="43" t="s">
        <v>100</v>
      </c>
      <c r="C13" s="46" t="str">
        <f aca="false">IFERROR(COUNTIF(Data!D5:D14,"Success")/COUNTA(Data!D5:D14),"")</f>
        <v/>
      </c>
      <c r="D13" s="46" t="str">
        <f aca="false">IFERROR(COUNTIF(Data!G5:G14,"Success")/COUNTA(Data!G5:G14),"")</f>
        <v/>
      </c>
      <c r="E13" s="46" t="str">
        <f aca="false">IFERROR(COUNTIF(Data!J5:J14,"Success")/COUNTA(Data!J5:J14),"")</f>
        <v/>
      </c>
      <c r="F13" s="46" t="str">
        <f aca="false">IFERROR(COUNTIF(Data!M5:M14,"Success")/COUNTA(Data!M5:M14),"")</f>
        <v/>
      </c>
      <c r="G13" s="46" t="str">
        <f aca="false">IFERROR(COUNTIF(Data!P5:P14,"Success")/COUNTA(Data!P5:P14),"")</f>
        <v/>
      </c>
    </row>
    <row r="15" customFormat="false" ht="24" hidden="false" customHeight="true" outlineLevel="0" collapsed="false">
      <c r="B15" s="36" t="s">
        <v>101</v>
      </c>
      <c r="C15" s="36"/>
      <c r="D15" s="36"/>
      <c r="E15" s="36"/>
      <c r="F15" s="36"/>
      <c r="G15" s="36"/>
    </row>
    <row r="16" customFormat="false" ht="30" hidden="false" customHeight="true" outlineLevel="0" collapsed="false">
      <c r="B16" s="43" t="s">
        <v>102</v>
      </c>
      <c r="C16" s="47"/>
      <c r="D16" s="47"/>
      <c r="E16" s="47"/>
      <c r="F16" s="47"/>
      <c r="G16" s="47"/>
    </row>
    <row r="17" customFormat="false" ht="30" hidden="false" customHeight="true" outlineLevel="0" collapsed="false">
      <c r="B17" s="43" t="s">
        <v>103</v>
      </c>
      <c r="C17" s="48"/>
      <c r="D17" s="48"/>
      <c r="E17" s="48"/>
      <c r="F17" s="48"/>
      <c r="G17" s="48"/>
    </row>
    <row r="18" customFormat="false" ht="30" hidden="false" customHeight="true" outlineLevel="0" collapsed="false">
      <c r="B18" s="43" t="s">
        <v>104</v>
      </c>
      <c r="C18" s="49" t="str">
        <f aca="false">IFERROR(AVERAGE(C14:G14),"")</f>
        <v/>
      </c>
      <c r="D18" s="49"/>
      <c r="E18" s="49"/>
      <c r="F18" s="49"/>
      <c r="G18" s="49"/>
    </row>
    <row r="19" customFormat="false" ht="30" hidden="false" customHeight="true" outlineLevel="0" collapsed="false">
      <c r="B19" s="43" t="s">
        <v>105</v>
      </c>
      <c r="C19" s="48"/>
      <c r="D19" s="48"/>
      <c r="E19" s="48"/>
      <c r="F19" s="48"/>
      <c r="G19" s="48"/>
    </row>
    <row r="20" customFormat="false" ht="30" hidden="false" customHeight="true" outlineLevel="0" collapsed="false">
      <c r="B20" s="43" t="s">
        <v>106</v>
      </c>
      <c r="C20" s="47"/>
      <c r="D20" s="47"/>
      <c r="E20" s="47"/>
      <c r="F20" s="47"/>
      <c r="G20" s="47"/>
    </row>
    <row r="21" customFormat="false" ht="30" hidden="false" customHeight="true" outlineLevel="0" collapsed="false">
      <c r="B21" s="43" t="s">
        <v>107</v>
      </c>
      <c r="C21" s="48"/>
      <c r="D21" s="48"/>
      <c r="E21" s="48"/>
      <c r="F21" s="48"/>
      <c r="G21" s="48"/>
    </row>
    <row r="22" customFormat="false" ht="30" hidden="false" customHeight="true" outlineLevel="0" collapsed="false">
      <c r="B22" s="43" t="s">
        <v>108</v>
      </c>
      <c r="C22" s="47"/>
      <c r="D22" s="47"/>
      <c r="E22" s="47"/>
      <c r="F22" s="47"/>
      <c r="G22" s="47"/>
    </row>
    <row r="23" customFormat="false" ht="30" hidden="false" customHeight="true" outlineLevel="0" collapsed="false">
      <c r="B23" s="43" t="s">
        <v>109</v>
      </c>
      <c r="C23" s="48"/>
      <c r="D23" s="48"/>
      <c r="E23" s="48"/>
      <c r="F23" s="48"/>
      <c r="G23" s="48"/>
    </row>
  </sheetData>
  <mergeCells count="12">
    <mergeCell ref="B1:G1"/>
    <mergeCell ref="B2:G2"/>
    <mergeCell ref="B3:G3"/>
    <mergeCell ref="B15:G15"/>
    <mergeCell ref="C16:G16"/>
    <mergeCell ref="C17:G17"/>
    <mergeCell ref="C18:G18"/>
    <mergeCell ref="C19:G19"/>
    <mergeCell ref="C20:G20"/>
    <mergeCell ref="C21:G21"/>
    <mergeCell ref="C22:G22"/>
    <mergeCell ref="C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42"/>
    <col collapsed="false" customWidth="true" hidden="false" outlineLevel="0" max="4" min="4" style="1" width="32"/>
    <col collapsed="false" customWidth="true" hidden="false" outlineLevel="0" max="6" min="5" style="1" width="22"/>
  </cols>
  <sheetData>
    <row r="1" customFormat="false" ht="39.75" hidden="false" customHeight="true" outlineLevel="0" collapsed="false">
      <c r="B1" s="35" t="s">
        <v>110</v>
      </c>
      <c r="C1" s="35"/>
      <c r="D1" s="35"/>
      <c r="E1" s="35"/>
      <c r="F1" s="35"/>
    </row>
    <row r="2" customFormat="false" ht="21.75" hidden="false" customHeight="true" outlineLevel="0" collapsed="false">
      <c r="B2" s="50" t="s">
        <v>111</v>
      </c>
      <c r="C2" s="50"/>
      <c r="D2" s="50"/>
      <c r="E2" s="50"/>
      <c r="F2" s="50"/>
    </row>
    <row r="3" customFormat="false" ht="24" hidden="false" customHeight="true" outlineLevel="0" collapsed="false">
      <c r="B3" s="36" t="s">
        <v>112</v>
      </c>
      <c r="C3" s="36"/>
      <c r="D3" s="36"/>
      <c r="E3" s="36"/>
      <c r="F3" s="36"/>
    </row>
    <row r="4" customFormat="false" ht="21.75" hidden="false" customHeight="true" outlineLevel="0" collapsed="false">
      <c r="B4" s="43" t="s">
        <v>113</v>
      </c>
      <c r="C4" s="47"/>
      <c r="D4" s="47"/>
      <c r="E4" s="47"/>
      <c r="F4" s="47"/>
    </row>
    <row r="5" customFormat="false" ht="21.75" hidden="false" customHeight="true" outlineLevel="0" collapsed="false">
      <c r="B5" s="43" t="s">
        <v>114</v>
      </c>
      <c r="C5" s="47"/>
      <c r="D5" s="47"/>
      <c r="E5" s="47"/>
      <c r="F5" s="47"/>
    </row>
    <row r="6" customFormat="false" ht="21.75" hidden="false" customHeight="true" outlineLevel="0" collapsed="false">
      <c r="B6" s="43" t="s">
        <v>115</v>
      </c>
      <c r="C6" s="47"/>
      <c r="D6" s="47"/>
      <c r="E6" s="47"/>
      <c r="F6" s="47"/>
    </row>
    <row r="7" customFormat="false" ht="21.75" hidden="false" customHeight="true" outlineLevel="0" collapsed="false">
      <c r="B7" s="43" t="s">
        <v>116</v>
      </c>
      <c r="C7" s="47"/>
      <c r="D7" s="47"/>
      <c r="E7" s="47"/>
      <c r="F7" s="47"/>
    </row>
    <row r="8" customFormat="false" ht="21.75" hidden="false" customHeight="true" outlineLevel="0" collapsed="false">
      <c r="B8" s="43" t="s">
        <v>42</v>
      </c>
      <c r="C8" s="47"/>
      <c r="D8" s="47"/>
      <c r="E8" s="47"/>
      <c r="F8" s="47"/>
    </row>
    <row r="10" customFormat="false" ht="24" hidden="false" customHeight="true" outlineLevel="0" collapsed="false">
      <c r="B10" s="36" t="s">
        <v>117</v>
      </c>
      <c r="C10" s="36"/>
      <c r="D10" s="36"/>
      <c r="E10" s="36"/>
      <c r="F10" s="36"/>
    </row>
    <row r="11" customFormat="false" ht="30" hidden="false" customHeight="true" outlineLevel="0" collapsed="false">
      <c r="B11" s="37" t="s">
        <v>118</v>
      </c>
      <c r="C11" s="37" t="s">
        <v>119</v>
      </c>
      <c r="D11" s="37" t="s">
        <v>120</v>
      </c>
      <c r="E11" s="37" t="s">
        <v>121</v>
      </c>
      <c r="F11" s="37" t="s">
        <v>122</v>
      </c>
    </row>
    <row r="12" customFormat="false" ht="42" hidden="false" customHeight="true" outlineLevel="0" collapsed="false">
      <c r="B12" s="51" t="s">
        <v>123</v>
      </c>
      <c r="C12" s="52" t="s">
        <v>124</v>
      </c>
      <c r="D12" s="52" t="s">
        <v>125</v>
      </c>
      <c r="E12" s="52" t="s">
        <v>126</v>
      </c>
      <c r="F12" s="51" t="s">
        <v>127</v>
      </c>
    </row>
    <row r="13" customFormat="false" ht="42" hidden="false" customHeight="true" outlineLevel="0" collapsed="false">
      <c r="B13" s="53" t="s">
        <v>128</v>
      </c>
      <c r="C13" s="54" t="s">
        <v>129</v>
      </c>
      <c r="D13" s="54" t="s">
        <v>130</v>
      </c>
      <c r="E13" s="54" t="s">
        <v>131</v>
      </c>
      <c r="F13" s="53" t="s">
        <v>127</v>
      </c>
    </row>
    <row r="14" customFormat="false" ht="42" hidden="false" customHeight="true" outlineLevel="0" collapsed="false">
      <c r="B14" s="51" t="s">
        <v>132</v>
      </c>
      <c r="C14" s="52" t="s">
        <v>133</v>
      </c>
      <c r="D14" s="52" t="s">
        <v>134</v>
      </c>
      <c r="E14" s="52" t="s">
        <v>135</v>
      </c>
      <c r="F14" s="51" t="s">
        <v>136</v>
      </c>
    </row>
    <row r="15" customFormat="false" ht="42" hidden="false" customHeight="true" outlineLevel="0" collapsed="false">
      <c r="B15" s="53" t="s">
        <v>137</v>
      </c>
      <c r="C15" s="54" t="s">
        <v>138</v>
      </c>
      <c r="D15" s="54" t="s">
        <v>139</v>
      </c>
      <c r="E15" s="54" t="s">
        <v>140</v>
      </c>
      <c r="F15" s="53" t="s">
        <v>136</v>
      </c>
    </row>
    <row r="16" customFormat="false" ht="42" hidden="false" customHeight="true" outlineLevel="0" collapsed="false">
      <c r="B16" s="51" t="s">
        <v>141</v>
      </c>
      <c r="C16" s="52"/>
      <c r="D16" s="52"/>
      <c r="E16" s="52"/>
      <c r="F16" s="51"/>
    </row>
    <row r="18" customFormat="false" ht="24" hidden="false" customHeight="true" outlineLevel="0" collapsed="false">
      <c r="B18" s="36" t="s">
        <v>142</v>
      </c>
      <c r="C18" s="36"/>
      <c r="D18" s="36"/>
      <c r="E18" s="36"/>
      <c r="F18" s="36"/>
    </row>
    <row r="19" customFormat="false" ht="15" hidden="false" customHeight="true" outlineLevel="0" collapsed="false">
      <c r="B19" s="37" t="s">
        <v>86</v>
      </c>
      <c r="C19" s="37" t="s">
        <v>143</v>
      </c>
      <c r="D19" s="37" t="s">
        <v>144</v>
      </c>
      <c r="E19" s="37"/>
      <c r="F19" s="37"/>
    </row>
    <row r="20" customFormat="false" ht="30" hidden="false" customHeight="true" outlineLevel="0" collapsed="false">
      <c r="B20" s="52" t="s">
        <v>145</v>
      </c>
      <c r="C20" s="52" t="s">
        <v>146</v>
      </c>
      <c r="D20" s="47" t="s">
        <v>147</v>
      </c>
      <c r="E20" s="47"/>
      <c r="F20" s="47"/>
    </row>
    <row r="21" customFormat="false" ht="30" hidden="false" customHeight="true" outlineLevel="0" collapsed="false">
      <c r="B21" s="54" t="s">
        <v>148</v>
      </c>
      <c r="C21" s="54" t="s">
        <v>149</v>
      </c>
      <c r="D21" s="48" t="s">
        <v>150</v>
      </c>
      <c r="E21" s="48"/>
      <c r="F21" s="48"/>
    </row>
    <row r="22" customFormat="false" ht="30" hidden="false" customHeight="true" outlineLevel="0" collapsed="false">
      <c r="B22" s="52" t="s">
        <v>151</v>
      </c>
      <c r="C22" s="52" t="s">
        <v>152</v>
      </c>
      <c r="D22" s="47" t="s">
        <v>153</v>
      </c>
      <c r="E22" s="47"/>
      <c r="F22" s="47"/>
    </row>
    <row r="23" customFormat="false" ht="30" hidden="false" customHeight="true" outlineLevel="0" collapsed="false">
      <c r="B23" s="54" t="s">
        <v>154</v>
      </c>
      <c r="C23" s="54" t="s">
        <v>155</v>
      </c>
      <c r="D23" s="48" t="s">
        <v>156</v>
      </c>
      <c r="E23" s="48"/>
      <c r="F23" s="48"/>
    </row>
    <row r="24" customFormat="false" ht="30" hidden="false" customHeight="true" outlineLevel="0" collapsed="false">
      <c r="B24" s="52" t="s">
        <v>157</v>
      </c>
      <c r="C24" s="52" t="s">
        <v>158</v>
      </c>
      <c r="D24" s="47" t="s">
        <v>159</v>
      </c>
      <c r="E24" s="47"/>
      <c r="F24" s="47"/>
    </row>
    <row r="25" customFormat="false" ht="30" hidden="false" customHeight="true" outlineLevel="0" collapsed="false">
      <c r="B25" s="54" t="s">
        <v>160</v>
      </c>
      <c r="C25" s="54" t="s">
        <v>161</v>
      </c>
      <c r="D25" s="48" t="s">
        <v>162</v>
      </c>
      <c r="E25" s="48"/>
      <c r="F25" s="48"/>
    </row>
  </sheetData>
  <mergeCells count="17">
    <mergeCell ref="B1:F1"/>
    <mergeCell ref="B2:F2"/>
    <mergeCell ref="B3:F3"/>
    <mergeCell ref="C4:F4"/>
    <mergeCell ref="C5:F5"/>
    <mergeCell ref="C6:F6"/>
    <mergeCell ref="C7:F7"/>
    <mergeCell ref="C8:F8"/>
    <mergeCell ref="B10:F10"/>
    <mergeCell ref="B18:F18"/>
    <mergeCell ref="D19:F19"/>
    <mergeCell ref="D20:F20"/>
    <mergeCell ref="D21:F21"/>
    <mergeCell ref="D22:F22"/>
    <mergeCell ref="D23:F23"/>
    <mergeCell ref="D24:F24"/>
    <mergeCell ref="D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6"/>
    <col collapsed="false" customWidth="true" hidden="false" outlineLevel="0" max="3" min="3" style="1" width="24"/>
    <col collapsed="false" customWidth="true" hidden="false" outlineLevel="0" max="4" min="4" style="1" width="38"/>
    <col collapsed="false" customWidth="true" hidden="false" outlineLevel="0" max="5" min="5" style="1" width="28"/>
    <col collapsed="false" customWidth="true" hidden="false" outlineLevel="0" max="6" min="6" style="1" width="22"/>
    <col collapsed="false" customWidth="true" hidden="false" outlineLevel="0" max="8" min="7" style="1" width="16"/>
    <col collapsed="false" customWidth="true" hidden="false" outlineLevel="0" max="9" min="9" style="1" width="26"/>
  </cols>
  <sheetData>
    <row r="1" customFormat="false" ht="39.75" hidden="false" customHeight="true" outlineLevel="0" collapsed="false">
      <c r="B1" s="35" t="s">
        <v>163</v>
      </c>
      <c r="C1" s="35"/>
      <c r="D1" s="35"/>
      <c r="E1" s="35"/>
      <c r="F1" s="35"/>
      <c r="G1" s="35"/>
      <c r="H1" s="35"/>
      <c r="I1" s="35"/>
    </row>
    <row r="2" customFormat="false" ht="21.75" hidden="false" customHeight="true" outlineLevel="0" collapsed="false">
      <c r="B2" s="3" t="s">
        <v>164</v>
      </c>
      <c r="C2" s="3"/>
      <c r="D2" s="3"/>
      <c r="E2" s="3"/>
      <c r="F2" s="3"/>
      <c r="G2" s="3"/>
      <c r="H2" s="3"/>
      <c r="I2" s="3"/>
    </row>
    <row r="3" customFormat="false" ht="33.75" hidden="false" customHeight="true" outlineLevel="0" collapsed="false">
      <c r="B3" s="37" t="s">
        <v>165</v>
      </c>
      <c r="C3" s="37" t="s">
        <v>166</v>
      </c>
      <c r="D3" s="37" t="s">
        <v>167</v>
      </c>
      <c r="E3" s="37" t="s">
        <v>168</v>
      </c>
      <c r="F3" s="37" t="s">
        <v>169</v>
      </c>
      <c r="G3" s="37" t="s">
        <v>170</v>
      </c>
      <c r="H3" s="37" t="s">
        <v>171</v>
      </c>
      <c r="I3" s="37" t="s">
        <v>172</v>
      </c>
    </row>
    <row r="4" customFormat="false" ht="51.75" hidden="false" customHeight="true" outlineLevel="0" collapsed="false">
      <c r="B4" s="51" t="s">
        <v>173</v>
      </c>
      <c r="C4" s="52" t="s">
        <v>174</v>
      </c>
      <c r="D4" s="52" t="s">
        <v>175</v>
      </c>
      <c r="E4" s="52" t="s">
        <v>176</v>
      </c>
      <c r="F4" s="52" t="s">
        <v>177</v>
      </c>
      <c r="G4" s="51" t="s">
        <v>178</v>
      </c>
      <c r="H4" s="51" t="s">
        <v>179</v>
      </c>
      <c r="I4" s="52"/>
    </row>
    <row r="5" customFormat="false" ht="51.75" hidden="false" customHeight="true" outlineLevel="0" collapsed="false">
      <c r="B5" s="53" t="s">
        <v>180</v>
      </c>
      <c r="C5" s="54" t="s">
        <v>181</v>
      </c>
      <c r="D5" s="54" t="s">
        <v>182</v>
      </c>
      <c r="E5" s="54" t="s">
        <v>183</v>
      </c>
      <c r="F5" s="54" t="s">
        <v>184</v>
      </c>
      <c r="G5" s="53" t="s">
        <v>185</v>
      </c>
      <c r="H5" s="53" t="s">
        <v>136</v>
      </c>
      <c r="I5" s="54" t="s">
        <v>186</v>
      </c>
    </row>
    <row r="6" customFormat="false" ht="51.75" hidden="false" customHeight="true" outlineLevel="0" collapsed="false">
      <c r="B6" s="51" t="s">
        <v>187</v>
      </c>
      <c r="C6" s="52" t="s">
        <v>188</v>
      </c>
      <c r="D6" s="52" t="s">
        <v>189</v>
      </c>
      <c r="E6" s="52" t="s">
        <v>190</v>
      </c>
      <c r="F6" s="52" t="s">
        <v>191</v>
      </c>
      <c r="G6" s="51" t="s">
        <v>192</v>
      </c>
      <c r="H6" s="51" t="s">
        <v>179</v>
      </c>
      <c r="I6" s="52"/>
    </row>
    <row r="7" customFormat="false" ht="51.75" hidden="false" customHeight="true" outlineLevel="0" collapsed="false">
      <c r="B7" s="53" t="s">
        <v>193</v>
      </c>
      <c r="C7" s="54" t="s">
        <v>194</v>
      </c>
      <c r="D7" s="54" t="s">
        <v>195</v>
      </c>
      <c r="E7" s="54" t="s">
        <v>196</v>
      </c>
      <c r="F7" s="54" t="s">
        <v>197</v>
      </c>
      <c r="G7" s="53" t="s">
        <v>185</v>
      </c>
      <c r="H7" s="53" t="s">
        <v>198</v>
      </c>
      <c r="I7" s="54" t="s">
        <v>199</v>
      </c>
    </row>
    <row r="8" customFormat="false" ht="51.75" hidden="false" customHeight="true" outlineLevel="0" collapsed="false">
      <c r="B8" s="51" t="s">
        <v>200</v>
      </c>
      <c r="C8" s="52" t="s">
        <v>201</v>
      </c>
      <c r="D8" s="52" t="s">
        <v>202</v>
      </c>
      <c r="E8" s="52" t="s">
        <v>203</v>
      </c>
      <c r="F8" s="52" t="s">
        <v>204</v>
      </c>
      <c r="G8" s="51" t="s">
        <v>178</v>
      </c>
      <c r="H8" s="51" t="s">
        <v>136</v>
      </c>
      <c r="I8" s="52"/>
    </row>
    <row r="9" customFormat="false" ht="51.75" hidden="false" customHeight="true" outlineLevel="0" collapsed="false">
      <c r="B9" s="54"/>
      <c r="C9" s="54"/>
      <c r="D9" s="54"/>
      <c r="E9" s="54"/>
      <c r="F9" s="54"/>
      <c r="G9" s="54"/>
      <c r="H9" s="54"/>
      <c r="I9" s="54"/>
    </row>
    <row r="10" customFormat="false" ht="51.75" hidden="false" customHeight="true" outlineLevel="0" collapsed="false">
      <c r="B10" s="52"/>
      <c r="C10" s="52"/>
      <c r="D10" s="52"/>
      <c r="E10" s="52"/>
      <c r="F10" s="52"/>
      <c r="G10" s="52"/>
      <c r="H10" s="52"/>
      <c r="I10" s="52"/>
    </row>
    <row r="11" customFormat="false" ht="51.75" hidden="false" customHeight="true" outlineLevel="0" collapsed="false">
      <c r="B11" s="54"/>
      <c r="C11" s="54"/>
      <c r="D11" s="54"/>
      <c r="E11" s="54"/>
      <c r="F11" s="54"/>
      <c r="G11" s="54"/>
      <c r="H11" s="54"/>
      <c r="I11" s="54"/>
    </row>
    <row r="13" customFormat="false" ht="24" hidden="false" customHeight="true" outlineLevel="0" collapsed="false">
      <c r="B13" s="36" t="s">
        <v>205</v>
      </c>
      <c r="C13" s="36"/>
      <c r="D13" s="36"/>
      <c r="E13" s="36"/>
      <c r="F13" s="36"/>
      <c r="G13" s="36"/>
      <c r="H13" s="36"/>
      <c r="I13" s="36"/>
    </row>
    <row r="14" customFormat="false" ht="36" hidden="false" customHeight="true" outlineLevel="0" collapsed="false">
      <c r="B14" s="43" t="s">
        <v>206</v>
      </c>
      <c r="C14" s="47" t="s">
        <v>207</v>
      </c>
      <c r="D14" s="47"/>
      <c r="E14" s="47"/>
      <c r="F14" s="47"/>
      <c r="G14" s="47"/>
      <c r="H14" s="47"/>
      <c r="I14" s="47"/>
    </row>
    <row r="15" customFormat="false" ht="36" hidden="false" customHeight="true" outlineLevel="0" collapsed="false">
      <c r="B15" s="43" t="s">
        <v>208</v>
      </c>
      <c r="C15" s="48" t="s">
        <v>209</v>
      </c>
      <c r="D15" s="48"/>
      <c r="E15" s="48"/>
      <c r="F15" s="48"/>
      <c r="G15" s="48"/>
      <c r="H15" s="48"/>
      <c r="I15" s="48"/>
    </row>
    <row r="16" customFormat="false" ht="36" hidden="false" customHeight="true" outlineLevel="0" collapsed="false">
      <c r="B16" s="43" t="s">
        <v>210</v>
      </c>
      <c r="C16" s="47" t="s">
        <v>211</v>
      </c>
      <c r="D16" s="47"/>
      <c r="E16" s="47"/>
      <c r="F16" s="47"/>
      <c r="G16" s="47"/>
      <c r="H16" s="47"/>
      <c r="I16" s="47"/>
    </row>
    <row r="17" customFormat="false" ht="36" hidden="false" customHeight="true" outlineLevel="0" collapsed="false">
      <c r="B17" s="43" t="s">
        <v>212</v>
      </c>
      <c r="C17" s="48" t="s">
        <v>213</v>
      </c>
      <c r="D17" s="48"/>
      <c r="E17" s="48"/>
      <c r="F17" s="48"/>
      <c r="G17" s="48"/>
      <c r="H17" s="48"/>
      <c r="I17" s="48"/>
    </row>
  </sheetData>
  <mergeCells count="7">
    <mergeCell ref="B1:I1"/>
    <mergeCell ref="B2:I2"/>
    <mergeCell ref="B13:I13"/>
    <mergeCell ref="C14:I14"/>
    <mergeCell ref="C15:I15"/>
    <mergeCell ref="C16:I16"/>
    <mergeCell ref="C17:I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8"/>
    <col collapsed="false" customWidth="true" hidden="false" outlineLevel="0" max="3" min="3" style="1" width="20"/>
    <col collapsed="false" customWidth="true" hidden="false" outlineLevel="0" max="4" min="4" style="1" width="12"/>
    <col collapsed="false" customWidth="true" hidden="false" outlineLevel="0" max="6" min="5" style="1" width="18"/>
    <col collapsed="false" customWidth="true" hidden="false" outlineLevel="0" max="8" min="7" style="1" width="14"/>
    <col collapsed="false" customWidth="true" hidden="false" outlineLevel="0" max="10" min="9" style="1" width="20"/>
    <col collapsed="false" customWidth="true" hidden="false" outlineLevel="0" max="12" min="11" style="1" width="26"/>
  </cols>
  <sheetData>
    <row r="1" customFormat="false" ht="39.75" hidden="false" customHeight="true" outlineLevel="0" collapsed="false">
      <c r="B1" s="35" t="s">
        <v>214</v>
      </c>
      <c r="C1" s="35"/>
      <c r="D1" s="35"/>
      <c r="E1" s="35"/>
      <c r="F1" s="35"/>
      <c r="G1" s="35"/>
      <c r="H1" s="35"/>
      <c r="I1" s="35"/>
      <c r="J1" s="35"/>
      <c r="K1" s="35"/>
      <c r="L1" s="35"/>
    </row>
    <row r="2" customFormat="false" ht="21.75" hidden="false" customHeight="true" outlineLevel="0" collapsed="false">
      <c r="B2" s="3" t="s">
        <v>215</v>
      </c>
      <c r="C2" s="3"/>
      <c r="D2" s="3"/>
      <c r="E2" s="3"/>
      <c r="F2" s="3"/>
      <c r="G2" s="3"/>
      <c r="H2" s="3"/>
      <c r="I2" s="3"/>
      <c r="J2" s="3"/>
      <c r="K2" s="3"/>
      <c r="L2" s="3"/>
    </row>
    <row r="3" customFormat="false" ht="24" hidden="false" customHeight="true" outlineLevel="0" collapsed="false">
      <c r="B3" s="36" t="s">
        <v>216</v>
      </c>
      <c r="C3" s="36"/>
      <c r="D3" s="36"/>
      <c r="E3" s="36"/>
      <c r="F3" s="36"/>
      <c r="G3" s="36"/>
      <c r="H3" s="36"/>
      <c r="I3" s="36"/>
      <c r="J3" s="36"/>
      <c r="K3" s="36"/>
      <c r="L3" s="36"/>
    </row>
    <row r="4" customFormat="false" ht="24" hidden="false" customHeight="true" outlineLevel="0" collapsed="false">
      <c r="B4" s="43" t="s">
        <v>217</v>
      </c>
      <c r="C4" s="47" t="s">
        <v>218</v>
      </c>
      <c r="D4" s="47"/>
      <c r="E4" s="47"/>
      <c r="F4" s="47"/>
      <c r="G4" s="47"/>
      <c r="H4" s="47"/>
      <c r="I4" s="47"/>
      <c r="J4" s="47"/>
      <c r="K4" s="47"/>
      <c r="L4" s="47"/>
    </row>
    <row r="5" customFormat="false" ht="24" hidden="false" customHeight="true" outlineLevel="0" collapsed="false">
      <c r="B5" s="43" t="s">
        <v>219</v>
      </c>
      <c r="C5" s="48" t="s">
        <v>220</v>
      </c>
      <c r="D5" s="48"/>
      <c r="E5" s="48"/>
      <c r="F5" s="48"/>
      <c r="G5" s="48"/>
      <c r="H5" s="48"/>
      <c r="I5" s="48"/>
      <c r="J5" s="48"/>
      <c r="K5" s="48"/>
      <c r="L5" s="48"/>
    </row>
    <row r="6" customFormat="false" ht="24" hidden="false" customHeight="true" outlineLevel="0" collapsed="false">
      <c r="B6" s="43" t="s">
        <v>221</v>
      </c>
      <c r="C6" s="47" t="s">
        <v>222</v>
      </c>
      <c r="D6" s="47"/>
      <c r="E6" s="47"/>
      <c r="F6" s="47"/>
      <c r="G6" s="47"/>
      <c r="H6" s="47"/>
      <c r="I6" s="47"/>
      <c r="J6" s="47"/>
      <c r="K6" s="47"/>
      <c r="L6" s="47"/>
    </row>
    <row r="7" customFormat="false" ht="24" hidden="false" customHeight="true" outlineLevel="0" collapsed="false">
      <c r="B7" s="43" t="s">
        <v>223</v>
      </c>
      <c r="C7" s="48" t="s">
        <v>224</v>
      </c>
      <c r="D7" s="48"/>
      <c r="E7" s="48"/>
      <c r="F7" s="48"/>
      <c r="G7" s="48"/>
      <c r="H7" s="48"/>
      <c r="I7" s="48"/>
      <c r="J7" s="48"/>
      <c r="K7" s="48"/>
      <c r="L7" s="48"/>
    </row>
    <row r="8" customFormat="false" ht="24" hidden="false" customHeight="true" outlineLevel="0" collapsed="false">
      <c r="B8" s="43" t="s">
        <v>225</v>
      </c>
      <c r="C8" s="47" t="s">
        <v>226</v>
      </c>
      <c r="D8" s="47"/>
      <c r="E8" s="47"/>
      <c r="F8" s="47"/>
      <c r="G8" s="47"/>
      <c r="H8" s="47"/>
      <c r="I8" s="47"/>
      <c r="J8" s="47"/>
      <c r="K8" s="47"/>
      <c r="L8" s="47"/>
    </row>
    <row r="9" customFormat="false" ht="24" hidden="false" customHeight="true" outlineLevel="0" collapsed="false">
      <c r="B9" s="43" t="s">
        <v>227</v>
      </c>
      <c r="C9" s="48" t="s">
        <v>228</v>
      </c>
      <c r="D9" s="48"/>
      <c r="E9" s="48"/>
      <c r="F9" s="48"/>
      <c r="G9" s="48"/>
      <c r="H9" s="48"/>
      <c r="I9" s="48"/>
      <c r="J9" s="48"/>
      <c r="K9" s="48"/>
      <c r="L9" s="48"/>
    </row>
    <row r="10" customFormat="false" ht="24" hidden="false" customHeight="true" outlineLevel="0" collapsed="false">
      <c r="B10" s="43" t="s">
        <v>229</v>
      </c>
      <c r="C10" s="47" t="s">
        <v>230</v>
      </c>
      <c r="D10" s="47"/>
      <c r="E10" s="47"/>
      <c r="F10" s="47"/>
      <c r="G10" s="47"/>
      <c r="H10" s="47"/>
      <c r="I10" s="47"/>
      <c r="J10" s="47"/>
      <c r="K10" s="47"/>
      <c r="L10" s="47"/>
    </row>
    <row r="11" customFormat="false" ht="24" hidden="false" customHeight="true" outlineLevel="0" collapsed="false">
      <c r="B11" s="43" t="s">
        <v>231</v>
      </c>
      <c r="C11" s="48" t="s">
        <v>232</v>
      </c>
      <c r="D11" s="48"/>
      <c r="E11" s="48"/>
      <c r="F11" s="48"/>
      <c r="G11" s="48"/>
      <c r="H11" s="48"/>
      <c r="I11" s="48"/>
      <c r="J11" s="48"/>
      <c r="K11" s="48"/>
      <c r="L11" s="48"/>
    </row>
    <row r="12" customFormat="false" ht="24" hidden="false" customHeight="true" outlineLevel="0" collapsed="false">
      <c r="B12" s="43" t="s">
        <v>233</v>
      </c>
      <c r="C12" s="47" t="s">
        <v>234</v>
      </c>
      <c r="D12" s="47"/>
      <c r="E12" s="47"/>
      <c r="F12" s="47"/>
      <c r="G12" s="47"/>
      <c r="H12" s="47"/>
      <c r="I12" s="47"/>
      <c r="J12" s="47"/>
      <c r="K12" s="47"/>
      <c r="L12" s="47"/>
    </row>
    <row r="14" customFormat="false" ht="24" hidden="false" customHeight="true" outlineLevel="0" collapsed="false">
      <c r="B14" s="36" t="s">
        <v>235</v>
      </c>
      <c r="C14" s="36"/>
      <c r="D14" s="36"/>
      <c r="E14" s="36"/>
      <c r="F14" s="36"/>
      <c r="G14" s="36"/>
      <c r="H14" s="36"/>
      <c r="I14" s="36"/>
      <c r="J14" s="36"/>
      <c r="K14" s="36"/>
      <c r="L14" s="36"/>
    </row>
    <row r="15" customFormat="false" ht="30" hidden="false" customHeight="true" outlineLevel="0" collapsed="false">
      <c r="B15" s="37" t="s">
        <v>236</v>
      </c>
      <c r="C15" s="37" t="s">
        <v>237</v>
      </c>
      <c r="D15" s="37" t="s">
        <v>238</v>
      </c>
      <c r="E15" s="37" t="s">
        <v>239</v>
      </c>
      <c r="F15" s="37" t="s">
        <v>240</v>
      </c>
      <c r="G15" s="37" t="s">
        <v>241</v>
      </c>
      <c r="H15" s="37" t="s">
        <v>225</v>
      </c>
      <c r="I15" s="37" t="s">
        <v>221</v>
      </c>
      <c r="J15" s="37" t="s">
        <v>242</v>
      </c>
      <c r="K15" s="37" t="s">
        <v>243</v>
      </c>
      <c r="L15" s="37" t="s">
        <v>244</v>
      </c>
    </row>
    <row r="16" customFormat="false" ht="21.75" hidden="false" customHeight="true" outlineLevel="0" collapsed="false">
      <c r="B16" s="51" t="s">
        <v>245</v>
      </c>
      <c r="C16" s="52"/>
      <c r="D16" s="52"/>
      <c r="E16" s="52"/>
      <c r="F16" s="52"/>
      <c r="G16" s="52"/>
      <c r="H16" s="52"/>
      <c r="I16" s="52"/>
      <c r="J16" s="52"/>
      <c r="K16" s="52"/>
      <c r="L16" s="52"/>
    </row>
    <row r="17" customFormat="false" ht="21.75" hidden="false" customHeight="true" outlineLevel="0" collapsed="false">
      <c r="B17" s="53" t="s">
        <v>246</v>
      </c>
      <c r="C17" s="54"/>
      <c r="D17" s="54"/>
      <c r="E17" s="54"/>
      <c r="F17" s="54"/>
      <c r="G17" s="54"/>
      <c r="H17" s="54"/>
      <c r="I17" s="54"/>
      <c r="J17" s="54"/>
      <c r="K17" s="54"/>
      <c r="L17" s="54"/>
    </row>
    <row r="18" customFormat="false" ht="21.75" hidden="false" customHeight="true" outlineLevel="0" collapsed="false">
      <c r="B18" s="51" t="s">
        <v>247</v>
      </c>
      <c r="C18" s="52"/>
      <c r="D18" s="52"/>
      <c r="E18" s="52"/>
      <c r="F18" s="52"/>
      <c r="G18" s="52"/>
      <c r="H18" s="52"/>
      <c r="I18" s="52"/>
      <c r="J18" s="52"/>
      <c r="K18" s="52"/>
      <c r="L18" s="52"/>
    </row>
    <row r="19" customFormat="false" ht="21.75" hidden="false" customHeight="true" outlineLevel="0" collapsed="false">
      <c r="B19" s="53" t="s">
        <v>248</v>
      </c>
      <c r="C19" s="54"/>
      <c r="D19" s="54"/>
      <c r="E19" s="54"/>
      <c r="F19" s="54"/>
      <c r="G19" s="54"/>
      <c r="H19" s="54"/>
      <c r="I19" s="54"/>
      <c r="J19" s="54"/>
      <c r="K19" s="54"/>
      <c r="L19" s="54"/>
    </row>
    <row r="20" customFormat="false" ht="21.75" hidden="false" customHeight="true" outlineLevel="0" collapsed="false">
      <c r="B20" s="51" t="s">
        <v>249</v>
      </c>
      <c r="C20" s="52"/>
      <c r="D20" s="52"/>
      <c r="E20" s="52"/>
      <c r="F20" s="52"/>
      <c r="G20" s="52"/>
      <c r="H20" s="52"/>
      <c r="I20" s="52"/>
      <c r="J20" s="52"/>
      <c r="K20" s="52"/>
      <c r="L20" s="52"/>
    </row>
    <row r="21" customFormat="false" ht="21.75" hidden="false" customHeight="true" outlineLevel="0" collapsed="false">
      <c r="B21" s="53" t="s">
        <v>250</v>
      </c>
      <c r="C21" s="54"/>
      <c r="D21" s="54"/>
      <c r="E21" s="54"/>
      <c r="F21" s="54"/>
      <c r="G21" s="54"/>
      <c r="H21" s="54"/>
      <c r="I21" s="54"/>
      <c r="J21" s="54"/>
      <c r="K21" s="54"/>
      <c r="L21" s="54"/>
    </row>
    <row r="22" customFormat="false" ht="21.75" hidden="false" customHeight="true" outlineLevel="0" collapsed="false">
      <c r="B22" s="51" t="s">
        <v>251</v>
      </c>
      <c r="C22" s="52"/>
      <c r="D22" s="52"/>
      <c r="E22" s="52"/>
      <c r="F22" s="52"/>
      <c r="G22" s="52"/>
      <c r="H22" s="52"/>
      <c r="I22" s="52"/>
      <c r="J22" s="52"/>
      <c r="K22" s="52"/>
      <c r="L22" s="52"/>
    </row>
    <row r="23" customFormat="false" ht="21.75" hidden="false" customHeight="true" outlineLevel="0" collapsed="false">
      <c r="B23" s="53" t="s">
        <v>252</v>
      </c>
      <c r="C23" s="54"/>
      <c r="D23" s="54"/>
      <c r="E23" s="54"/>
      <c r="F23" s="54"/>
      <c r="G23" s="54"/>
      <c r="H23" s="54"/>
      <c r="I23" s="54"/>
      <c r="J23" s="54"/>
      <c r="K23" s="54"/>
      <c r="L23" s="54"/>
    </row>
    <row r="24" customFormat="false" ht="21.75" hidden="false" customHeight="true" outlineLevel="0" collapsed="false">
      <c r="B24" s="51" t="s">
        <v>253</v>
      </c>
      <c r="C24" s="52"/>
      <c r="D24" s="52"/>
      <c r="E24" s="52"/>
      <c r="F24" s="52"/>
      <c r="G24" s="52"/>
      <c r="H24" s="52"/>
      <c r="I24" s="52"/>
      <c r="J24" s="52"/>
      <c r="K24" s="52"/>
      <c r="L24" s="52"/>
    </row>
    <row r="25" customFormat="false" ht="21.75" hidden="false" customHeight="true" outlineLevel="0" collapsed="false">
      <c r="B25" s="53" t="s">
        <v>254</v>
      </c>
      <c r="C25" s="54"/>
      <c r="D25" s="54"/>
      <c r="E25" s="54"/>
      <c r="F25" s="54"/>
      <c r="G25" s="54"/>
      <c r="H25" s="54"/>
      <c r="I25" s="54"/>
      <c r="J25" s="54"/>
      <c r="K25" s="54"/>
      <c r="L25" s="54"/>
    </row>
    <row r="26" customFormat="false" ht="21.75" hidden="false" customHeight="true" outlineLevel="0" collapsed="false">
      <c r="B26" s="51" t="s">
        <v>255</v>
      </c>
      <c r="C26" s="52"/>
      <c r="D26" s="52"/>
      <c r="E26" s="52"/>
      <c r="F26" s="52"/>
      <c r="G26" s="52"/>
      <c r="H26" s="52"/>
      <c r="I26" s="52"/>
      <c r="J26" s="52"/>
      <c r="K26" s="52"/>
      <c r="L26" s="52"/>
    </row>
  </sheetData>
  <mergeCells count="13">
    <mergeCell ref="B1:L1"/>
    <mergeCell ref="B2:L2"/>
    <mergeCell ref="B3:L3"/>
    <mergeCell ref="C4:L4"/>
    <mergeCell ref="C5:L5"/>
    <mergeCell ref="C6:L6"/>
    <mergeCell ref="C7:L7"/>
    <mergeCell ref="C8:L8"/>
    <mergeCell ref="C9:L9"/>
    <mergeCell ref="C10:L10"/>
    <mergeCell ref="C11:L11"/>
    <mergeCell ref="C12:L12"/>
    <mergeCell ref="B14:L14"/>
  </mergeCells>
  <dataValidations count="4">
    <dataValidation allowBlank="true" errorStyle="stop" operator="between" showDropDown="false" showErrorMessage="false" showInputMessage="false" sqref="E16:E26" type="list">
      <formula1>"Canada,United States,United Kingdom,Australia,Germany,France,Other"</formula1>
      <formula2>0</formula2>
    </dataValidation>
    <dataValidation allowBlank="true" errorStyle="stop" operator="between" showDropDown="false" showErrorMessage="false" showInputMessage="false" sqref="F16:F26" type="list">
      <formula1>"Desktop,Laptop,Tablet,Smartphone (iOS),Smartphone (Android),Other"</formula1>
      <formula2>0</formula2>
    </dataValidation>
    <dataValidation allowBlank="true" errorStyle="stop" operator="between" showDropDown="false" showErrorMessage="false" showInputMessage="false" sqref="G16:G26" type="list">
      <formula1>"Windows,macOS,iOS,Android,Linux,Other"</formula1>
      <formula2>0</formula2>
    </dataValidation>
    <dataValidation allowBlank="true" errorStyle="stop" operator="between" showDropDown="false" showErrorMessage="false" showInputMessage="false" sqref="I16:I26" type="list">
      <formula1>"Low,Medium,High"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8"/>
    <col collapsed="false" customWidth="true" hidden="false" outlineLevel="0" max="3" min="3" style="1" width="12"/>
    <col collapsed="false" customWidth="true" hidden="false" outlineLevel="0" max="4" min="4" style="1" width="16"/>
    <col collapsed="false" customWidth="true" hidden="false" outlineLevel="0" max="5" min="5" style="1" width="30"/>
    <col collapsed="false" customWidth="true" hidden="false" outlineLevel="0" max="6" min="6" style="1" width="12"/>
    <col collapsed="false" customWidth="true" hidden="false" outlineLevel="0" max="7" min="7" style="1" width="16"/>
    <col collapsed="false" customWidth="true" hidden="false" outlineLevel="0" max="8" min="8" style="1" width="30"/>
    <col collapsed="false" customWidth="true" hidden="false" outlineLevel="0" max="9" min="9" style="1" width="12"/>
    <col collapsed="false" customWidth="true" hidden="false" outlineLevel="0" max="10" min="10" style="1" width="16"/>
    <col collapsed="false" customWidth="true" hidden="false" outlineLevel="0" max="11" min="11" style="1" width="30"/>
    <col collapsed="false" customWidth="true" hidden="false" outlineLevel="0" max="12" min="12" style="1" width="12"/>
    <col collapsed="false" customWidth="true" hidden="false" outlineLevel="0" max="13" min="13" style="1" width="16"/>
    <col collapsed="false" customWidth="true" hidden="false" outlineLevel="0" max="14" min="14" style="1" width="30"/>
    <col collapsed="false" customWidth="true" hidden="false" outlineLevel="0" max="15" min="15" style="1" width="12"/>
    <col collapsed="false" customWidth="true" hidden="false" outlineLevel="0" max="16" min="16" style="1" width="16"/>
    <col collapsed="false" customWidth="true" hidden="false" outlineLevel="0" max="17" min="17" style="1" width="30"/>
  </cols>
  <sheetData>
    <row r="1" customFormat="false" ht="39.75" hidden="false" customHeight="true" outlineLevel="0" collapsed="false">
      <c r="B1" s="35" t="s">
        <v>256</v>
      </c>
      <c r="C1" s="35"/>
      <c r="D1" s="35"/>
      <c r="E1" s="35"/>
      <c r="F1" s="35"/>
      <c r="G1" s="35"/>
      <c r="H1" s="35"/>
      <c r="I1" s="35"/>
      <c r="J1" s="35"/>
      <c r="K1" s="35"/>
      <c r="L1" s="35"/>
      <c r="M1" s="35"/>
      <c r="N1" s="35"/>
      <c r="O1" s="35"/>
      <c r="P1" s="35"/>
      <c r="Q1" s="35"/>
    </row>
    <row r="2" customFormat="false" ht="21.75" hidden="false" customHeight="true" outlineLevel="0" collapsed="false">
      <c r="B2" s="3" t="s">
        <v>257</v>
      </c>
      <c r="C2" s="3"/>
      <c r="D2" s="3"/>
      <c r="E2" s="3"/>
      <c r="F2" s="3"/>
      <c r="G2" s="3"/>
      <c r="H2" s="3"/>
      <c r="I2" s="3"/>
      <c r="J2" s="3"/>
      <c r="K2" s="3"/>
      <c r="L2" s="3"/>
      <c r="M2" s="3"/>
      <c r="N2" s="3"/>
      <c r="O2" s="3"/>
      <c r="P2" s="3"/>
      <c r="Q2" s="3"/>
    </row>
    <row r="3" customFormat="false" ht="25.5" hidden="false" customHeight="true" outlineLevel="0" collapsed="false">
      <c r="B3" s="55"/>
      <c r="C3" s="56" t="s">
        <v>258</v>
      </c>
      <c r="D3" s="56"/>
      <c r="E3" s="56"/>
      <c r="F3" s="57" t="s">
        <v>259</v>
      </c>
      <c r="G3" s="57"/>
      <c r="H3" s="57"/>
      <c r="I3" s="58" t="s">
        <v>260</v>
      </c>
      <c r="J3" s="58"/>
      <c r="K3" s="58"/>
      <c r="L3" s="59" t="s">
        <v>261</v>
      </c>
      <c r="M3" s="59"/>
      <c r="N3" s="59"/>
      <c r="O3" s="60" t="s">
        <v>262</v>
      </c>
      <c r="P3" s="60"/>
      <c r="Q3" s="60"/>
    </row>
    <row r="4" customFormat="false" ht="30" hidden="false" customHeight="true" outlineLevel="0" collapsed="false">
      <c r="B4" s="61" t="s">
        <v>236</v>
      </c>
      <c r="C4" s="38" t="s">
        <v>263</v>
      </c>
      <c r="D4" s="38" t="s">
        <v>264</v>
      </c>
      <c r="E4" s="38" t="s">
        <v>265</v>
      </c>
      <c r="F4" s="39" t="s">
        <v>263</v>
      </c>
      <c r="G4" s="39" t="s">
        <v>264</v>
      </c>
      <c r="H4" s="39" t="s">
        <v>265</v>
      </c>
      <c r="I4" s="40" t="s">
        <v>263</v>
      </c>
      <c r="J4" s="40" t="s">
        <v>264</v>
      </c>
      <c r="K4" s="40" t="s">
        <v>265</v>
      </c>
      <c r="L4" s="41" t="s">
        <v>263</v>
      </c>
      <c r="M4" s="41" t="s">
        <v>264</v>
      </c>
      <c r="N4" s="41" t="s">
        <v>265</v>
      </c>
      <c r="O4" s="42" t="s">
        <v>263</v>
      </c>
      <c r="P4" s="42" t="s">
        <v>264</v>
      </c>
      <c r="Q4" s="42" t="s">
        <v>265</v>
      </c>
    </row>
    <row r="5" customFormat="false" ht="51.75" hidden="false" customHeight="true" outlineLevel="0" collapsed="false">
      <c r="B5" s="51" t="s">
        <v>245</v>
      </c>
      <c r="C5" s="51"/>
      <c r="D5" s="51"/>
      <c r="E5" s="52"/>
      <c r="F5" s="51"/>
      <c r="G5" s="51"/>
      <c r="H5" s="52"/>
      <c r="I5" s="51"/>
      <c r="J5" s="51"/>
      <c r="K5" s="52"/>
      <c r="L5" s="51"/>
      <c r="M5" s="51"/>
      <c r="N5" s="52"/>
      <c r="O5" s="51"/>
      <c r="P5" s="51"/>
      <c r="Q5" s="52"/>
    </row>
    <row r="6" customFormat="false" ht="51.75" hidden="false" customHeight="true" outlineLevel="0" collapsed="false">
      <c r="B6" s="53" t="s">
        <v>246</v>
      </c>
      <c r="C6" s="53"/>
      <c r="D6" s="53"/>
      <c r="E6" s="54"/>
      <c r="F6" s="53"/>
      <c r="G6" s="53"/>
      <c r="H6" s="54"/>
      <c r="I6" s="53"/>
      <c r="J6" s="53"/>
      <c r="K6" s="54"/>
      <c r="L6" s="53"/>
      <c r="M6" s="53"/>
      <c r="N6" s="54"/>
      <c r="O6" s="53"/>
      <c r="P6" s="53"/>
      <c r="Q6" s="54"/>
    </row>
    <row r="7" customFormat="false" ht="51.75" hidden="false" customHeight="true" outlineLevel="0" collapsed="false">
      <c r="B7" s="51" t="s">
        <v>247</v>
      </c>
      <c r="C7" s="51"/>
      <c r="D7" s="51"/>
      <c r="E7" s="52"/>
      <c r="F7" s="51"/>
      <c r="G7" s="51"/>
      <c r="H7" s="52"/>
      <c r="I7" s="51"/>
      <c r="J7" s="51"/>
      <c r="K7" s="52"/>
      <c r="L7" s="51"/>
      <c r="M7" s="51"/>
      <c r="N7" s="52"/>
      <c r="O7" s="51"/>
      <c r="P7" s="51"/>
      <c r="Q7" s="52"/>
    </row>
    <row r="8" customFormat="false" ht="51.75" hidden="false" customHeight="true" outlineLevel="0" collapsed="false">
      <c r="B8" s="53" t="s">
        <v>248</v>
      </c>
      <c r="C8" s="53"/>
      <c r="D8" s="53"/>
      <c r="E8" s="54"/>
      <c r="F8" s="53"/>
      <c r="G8" s="53"/>
      <c r="H8" s="54"/>
      <c r="I8" s="53"/>
      <c r="J8" s="53"/>
      <c r="K8" s="54"/>
      <c r="L8" s="53"/>
      <c r="M8" s="53"/>
      <c r="N8" s="54"/>
      <c r="O8" s="53"/>
      <c r="P8" s="53"/>
      <c r="Q8" s="54"/>
    </row>
    <row r="9" customFormat="false" ht="51.75" hidden="false" customHeight="true" outlineLevel="0" collapsed="false">
      <c r="B9" s="51" t="s">
        <v>249</v>
      </c>
      <c r="C9" s="51"/>
      <c r="D9" s="51"/>
      <c r="E9" s="52"/>
      <c r="F9" s="51"/>
      <c r="G9" s="51"/>
      <c r="H9" s="52"/>
      <c r="I9" s="51"/>
      <c r="J9" s="51"/>
      <c r="K9" s="52"/>
      <c r="L9" s="51"/>
      <c r="M9" s="51"/>
      <c r="N9" s="52"/>
      <c r="O9" s="51"/>
      <c r="P9" s="51"/>
      <c r="Q9" s="52"/>
    </row>
    <row r="10" customFormat="false" ht="51.75" hidden="false" customHeight="true" outlineLevel="0" collapsed="false">
      <c r="B10" s="53" t="s">
        <v>250</v>
      </c>
      <c r="C10" s="53"/>
      <c r="D10" s="53"/>
      <c r="E10" s="54"/>
      <c r="F10" s="53"/>
      <c r="G10" s="53"/>
      <c r="H10" s="54"/>
      <c r="I10" s="53"/>
      <c r="J10" s="53"/>
      <c r="K10" s="54"/>
      <c r="L10" s="53"/>
      <c r="M10" s="53"/>
      <c r="N10" s="54"/>
      <c r="O10" s="53"/>
      <c r="P10" s="53"/>
      <c r="Q10" s="54"/>
    </row>
    <row r="11" customFormat="false" ht="51.75" hidden="false" customHeight="true" outlineLevel="0" collapsed="false">
      <c r="B11" s="51" t="s">
        <v>251</v>
      </c>
      <c r="C11" s="51"/>
      <c r="D11" s="51"/>
      <c r="E11" s="52"/>
      <c r="F11" s="51"/>
      <c r="G11" s="51"/>
      <c r="H11" s="52"/>
      <c r="I11" s="51"/>
      <c r="J11" s="51"/>
      <c r="K11" s="52"/>
      <c r="L11" s="51"/>
      <c r="M11" s="51"/>
      <c r="N11" s="52"/>
      <c r="O11" s="51"/>
      <c r="P11" s="51"/>
      <c r="Q11" s="52"/>
    </row>
    <row r="12" customFormat="false" ht="51.75" hidden="false" customHeight="true" outlineLevel="0" collapsed="false">
      <c r="B12" s="53" t="s">
        <v>252</v>
      </c>
      <c r="C12" s="53"/>
      <c r="D12" s="53"/>
      <c r="E12" s="54"/>
      <c r="F12" s="53"/>
      <c r="G12" s="53"/>
      <c r="H12" s="54"/>
      <c r="I12" s="53"/>
      <c r="J12" s="53"/>
      <c r="K12" s="54"/>
      <c r="L12" s="53"/>
      <c r="M12" s="53"/>
      <c r="N12" s="54"/>
      <c r="O12" s="53"/>
      <c r="P12" s="53"/>
      <c r="Q12" s="54"/>
    </row>
    <row r="13" customFormat="false" ht="51.75" hidden="false" customHeight="true" outlineLevel="0" collapsed="false">
      <c r="B13" s="51" t="s">
        <v>253</v>
      </c>
      <c r="C13" s="51"/>
      <c r="D13" s="51"/>
      <c r="E13" s="52"/>
      <c r="F13" s="51"/>
      <c r="G13" s="51"/>
      <c r="H13" s="52"/>
      <c r="I13" s="51"/>
      <c r="J13" s="51"/>
      <c r="K13" s="52"/>
      <c r="L13" s="51"/>
      <c r="M13" s="51"/>
      <c r="N13" s="52"/>
      <c r="O13" s="51"/>
      <c r="P13" s="51"/>
      <c r="Q13" s="52"/>
    </row>
    <row r="14" customFormat="false" ht="51.75" hidden="false" customHeight="true" outlineLevel="0" collapsed="false">
      <c r="B14" s="53" t="s">
        <v>254</v>
      </c>
      <c r="C14" s="53"/>
      <c r="D14" s="53"/>
      <c r="E14" s="54"/>
      <c r="F14" s="53"/>
      <c r="G14" s="53"/>
      <c r="H14" s="54"/>
      <c r="I14" s="53"/>
      <c r="J14" s="53"/>
      <c r="K14" s="54"/>
      <c r="L14" s="53"/>
      <c r="M14" s="53"/>
      <c r="N14" s="54"/>
      <c r="O14" s="53"/>
      <c r="P14" s="53"/>
      <c r="Q14" s="54"/>
    </row>
    <row r="15" customFormat="false" ht="51.75" hidden="false" customHeight="true" outlineLevel="0" collapsed="false">
      <c r="B15" s="51" t="s">
        <v>255</v>
      </c>
      <c r="C15" s="51"/>
      <c r="D15" s="51"/>
      <c r="E15" s="52"/>
      <c r="F15" s="51"/>
      <c r="G15" s="51"/>
      <c r="H15" s="52"/>
      <c r="I15" s="51"/>
      <c r="J15" s="51"/>
      <c r="K15" s="52"/>
      <c r="L15" s="51"/>
      <c r="M15" s="51"/>
      <c r="N15" s="52"/>
      <c r="O15" s="51"/>
      <c r="P15" s="51"/>
      <c r="Q15" s="52"/>
    </row>
    <row r="17" customFormat="false" ht="24" hidden="false" customHeight="true" outlineLevel="0" collapsed="false">
      <c r="B17" s="36" t="s">
        <v>266</v>
      </c>
      <c r="C17" s="36"/>
      <c r="D17" s="36"/>
      <c r="E17" s="36"/>
      <c r="F17" s="36"/>
      <c r="G17" s="36"/>
      <c r="H17" s="36"/>
      <c r="I17" s="36"/>
      <c r="J17" s="36"/>
      <c r="K17" s="36"/>
      <c r="L17" s="36"/>
      <c r="M17" s="36"/>
      <c r="N17" s="36"/>
      <c r="O17" s="36"/>
      <c r="P17" s="36"/>
      <c r="Q17" s="36"/>
    </row>
    <row r="18" customFormat="false" ht="27.75" hidden="false" customHeight="true" outlineLevel="0" collapsed="false">
      <c r="B18" s="62" t="s">
        <v>92</v>
      </c>
      <c r="C18" s="63" t="s">
        <v>267</v>
      </c>
      <c r="D18" s="63"/>
      <c r="F18" s="64" t="s">
        <v>268</v>
      </c>
      <c r="G18" s="63" t="s">
        <v>269</v>
      </c>
      <c r="H18" s="63"/>
    </row>
    <row r="19" customFormat="false" ht="27.75" hidden="false" customHeight="true" outlineLevel="0" collapsed="false">
      <c r="B19" s="65" t="s">
        <v>94</v>
      </c>
      <c r="C19" s="66" t="s">
        <v>270</v>
      </c>
      <c r="D19" s="66"/>
      <c r="F19" s="67" t="s">
        <v>271</v>
      </c>
      <c r="G19" s="66" t="s">
        <v>272</v>
      </c>
      <c r="H19" s="66"/>
    </row>
    <row r="20" customFormat="false" ht="27.75" hidden="false" customHeight="true" outlineLevel="0" collapsed="false">
      <c r="B20" s="68" t="s">
        <v>96</v>
      </c>
      <c r="C20" s="63" t="s">
        <v>273</v>
      </c>
      <c r="D20" s="63"/>
      <c r="F20" s="69" t="s">
        <v>97</v>
      </c>
      <c r="G20" s="63" t="s">
        <v>274</v>
      </c>
      <c r="H20" s="63"/>
    </row>
    <row r="21" customFormat="false" ht="27.75" hidden="false" customHeight="true" outlineLevel="0" collapsed="false">
      <c r="B21" s="70" t="s">
        <v>98</v>
      </c>
      <c r="C21" s="66" t="s">
        <v>275</v>
      </c>
      <c r="D21" s="66"/>
    </row>
  </sheetData>
  <mergeCells count="15">
    <mergeCell ref="B1:Q1"/>
    <mergeCell ref="B2:Q2"/>
    <mergeCell ref="C3:E3"/>
    <mergeCell ref="F3:H3"/>
    <mergeCell ref="I3:K3"/>
    <mergeCell ref="L3:N3"/>
    <mergeCell ref="O3:Q3"/>
    <mergeCell ref="B17:Q17"/>
    <mergeCell ref="C18:D18"/>
    <mergeCell ref="G18:H18"/>
    <mergeCell ref="C19:D19"/>
    <mergeCell ref="G19:H19"/>
    <mergeCell ref="C20:D20"/>
    <mergeCell ref="G20:H20"/>
    <mergeCell ref="C21:D21"/>
  </mergeCells>
  <conditionalFormatting sqref="D5:D15">
    <cfRule type="expression" priority="2" aboveAverage="0" equalAverage="0" bottom="0" percent="0" rank="0" text="" dxfId="0">
      <formula>D5="Success"</formula>
    </cfRule>
    <cfRule type="expression" priority="3" aboveAverage="0" equalAverage="0" bottom="0" percent="0" rank="0" text="" dxfId="1">
      <formula>D5="Partial Fail"</formula>
    </cfRule>
    <cfRule type="expression" priority="4" aboveAverage="0" equalAverage="0" bottom="0" percent="0" rank="0" text="" dxfId="2">
      <formula>D5="Fail"</formula>
    </cfRule>
    <cfRule type="expression" priority="5" aboveAverage="0" equalAverage="0" bottom="0" percent="0" rank="0" text="" dxfId="3">
      <formula>D5="Time Limit"</formula>
    </cfRule>
    <cfRule type="expression" priority="6" aboveAverage="0" equalAverage="0" bottom="0" percent="0" rank="0" text="" dxfId="4">
      <formula>D5="Give Up"</formula>
    </cfRule>
    <cfRule type="expression" priority="7" aboveAverage="0" equalAverage="0" bottom="0" percent="0" rank="0" text="" dxfId="5">
      <formula>D5="Technical Issues"</formula>
    </cfRule>
    <cfRule type="expression" priority="8" aboveAverage="0" equalAverage="0" bottom="0" percent="0" rank="0" text="" dxfId="6">
      <formula>D5="Other"</formula>
    </cfRule>
  </conditionalFormatting>
  <conditionalFormatting sqref="G5:G15">
    <cfRule type="expression" priority="9" aboveAverage="0" equalAverage="0" bottom="0" percent="0" rank="0" text="" dxfId="0">
      <formula>G5="Success"</formula>
    </cfRule>
    <cfRule type="expression" priority="10" aboveAverage="0" equalAverage="0" bottom="0" percent="0" rank="0" text="" dxfId="1">
      <formula>G5="Partial Fail"</formula>
    </cfRule>
    <cfRule type="expression" priority="11" aboveAverage="0" equalAverage="0" bottom="0" percent="0" rank="0" text="" dxfId="2">
      <formula>G5="Fail"</formula>
    </cfRule>
    <cfRule type="expression" priority="12" aboveAverage="0" equalAverage="0" bottom="0" percent="0" rank="0" text="" dxfId="3">
      <formula>G5="Time Limit"</formula>
    </cfRule>
    <cfRule type="expression" priority="13" aboveAverage="0" equalAverage="0" bottom="0" percent="0" rank="0" text="" dxfId="4">
      <formula>G5="Give Up"</formula>
    </cfRule>
    <cfRule type="expression" priority="14" aboveAverage="0" equalAverage="0" bottom="0" percent="0" rank="0" text="" dxfId="5">
      <formula>G5="Technical Issues"</formula>
    </cfRule>
    <cfRule type="expression" priority="15" aboveAverage="0" equalAverage="0" bottom="0" percent="0" rank="0" text="" dxfId="6">
      <formula>G5="Other"</formula>
    </cfRule>
  </conditionalFormatting>
  <conditionalFormatting sqref="J5:J15">
    <cfRule type="expression" priority="16" aboveAverage="0" equalAverage="0" bottom="0" percent="0" rank="0" text="" dxfId="0">
      <formula>J5="Success"</formula>
    </cfRule>
    <cfRule type="expression" priority="17" aboveAverage="0" equalAverage="0" bottom="0" percent="0" rank="0" text="" dxfId="1">
      <formula>J5="Partial Fail"</formula>
    </cfRule>
    <cfRule type="expression" priority="18" aboveAverage="0" equalAverage="0" bottom="0" percent="0" rank="0" text="" dxfId="2">
      <formula>J5="Fail"</formula>
    </cfRule>
    <cfRule type="expression" priority="19" aboveAverage="0" equalAverage="0" bottom="0" percent="0" rank="0" text="" dxfId="3">
      <formula>J5="Time Limit"</formula>
    </cfRule>
    <cfRule type="expression" priority="20" aboveAverage="0" equalAverage="0" bottom="0" percent="0" rank="0" text="" dxfId="4">
      <formula>J5="Give Up"</formula>
    </cfRule>
    <cfRule type="expression" priority="21" aboveAverage="0" equalAverage="0" bottom="0" percent="0" rank="0" text="" dxfId="5">
      <formula>J5="Technical Issues"</formula>
    </cfRule>
    <cfRule type="expression" priority="22" aboveAverage="0" equalAverage="0" bottom="0" percent="0" rank="0" text="" dxfId="6">
      <formula>J5="Other"</formula>
    </cfRule>
  </conditionalFormatting>
  <conditionalFormatting sqref="M5:M15">
    <cfRule type="expression" priority="23" aboveAverage="0" equalAverage="0" bottom="0" percent="0" rank="0" text="" dxfId="0">
      <formula>M5="Success"</formula>
    </cfRule>
    <cfRule type="expression" priority="24" aboveAverage="0" equalAverage="0" bottom="0" percent="0" rank="0" text="" dxfId="1">
      <formula>M5="Partial Fail"</formula>
    </cfRule>
    <cfRule type="expression" priority="25" aboveAverage="0" equalAverage="0" bottom="0" percent="0" rank="0" text="" dxfId="2">
      <formula>M5="Fail"</formula>
    </cfRule>
    <cfRule type="expression" priority="26" aboveAverage="0" equalAverage="0" bottom="0" percent="0" rank="0" text="" dxfId="3">
      <formula>M5="Time Limit"</formula>
    </cfRule>
    <cfRule type="expression" priority="27" aboveAverage="0" equalAverage="0" bottom="0" percent="0" rank="0" text="" dxfId="4">
      <formula>M5="Give Up"</formula>
    </cfRule>
    <cfRule type="expression" priority="28" aboveAverage="0" equalAverage="0" bottom="0" percent="0" rank="0" text="" dxfId="5">
      <formula>M5="Technical Issues"</formula>
    </cfRule>
    <cfRule type="expression" priority="29" aboveAverage="0" equalAverage="0" bottom="0" percent="0" rank="0" text="" dxfId="6">
      <formula>M5="Other"</formula>
    </cfRule>
  </conditionalFormatting>
  <conditionalFormatting sqref="P5:P15">
    <cfRule type="expression" priority="30" aboveAverage="0" equalAverage="0" bottom="0" percent="0" rank="0" text="" dxfId="0">
      <formula>P5="Success"</formula>
    </cfRule>
    <cfRule type="expression" priority="31" aboveAverage="0" equalAverage="0" bottom="0" percent="0" rank="0" text="" dxfId="1">
      <formula>P5="Partial Fail"</formula>
    </cfRule>
    <cfRule type="expression" priority="32" aboveAverage="0" equalAverage="0" bottom="0" percent="0" rank="0" text="" dxfId="2">
      <formula>P5="Fail"</formula>
    </cfRule>
    <cfRule type="expression" priority="33" aboveAverage="0" equalAverage="0" bottom="0" percent="0" rank="0" text="" dxfId="3">
      <formula>P5="Time Limit"</formula>
    </cfRule>
    <cfRule type="expression" priority="34" aboveAverage="0" equalAverage="0" bottom="0" percent="0" rank="0" text="" dxfId="4">
      <formula>P5="Give Up"</formula>
    </cfRule>
    <cfRule type="expression" priority="35" aboveAverage="0" equalAverage="0" bottom="0" percent="0" rank="0" text="" dxfId="5">
      <formula>P5="Technical Issues"</formula>
    </cfRule>
    <cfRule type="expression" priority="36" aboveAverage="0" equalAverage="0" bottom="0" percent="0" rank="0" text="" dxfId="6">
      <formula>P5="Other"</formula>
    </cfRule>
  </conditionalFormatting>
  <dataValidations count="1">
    <dataValidation allowBlank="true" errorStyle="stop" operator="between" showDropDown="false" showErrorMessage="false" showInputMessage="false" sqref="D5:D15 G5:G15 J5:J15 M5:M15 P5:P15" type="list">
      <formula1>"Success,Partial Fail,Fail,Time Limit,Give Up,Technical Issues,Other"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7" min="3" style="1" width="32"/>
  </cols>
  <sheetData>
    <row r="1" customFormat="false" ht="39.75" hidden="false" customHeight="true" outlineLevel="0" collapsed="false">
      <c r="B1" s="35" t="s">
        <v>276</v>
      </c>
      <c r="C1" s="35"/>
      <c r="D1" s="35"/>
      <c r="E1" s="35"/>
      <c r="F1" s="35"/>
      <c r="G1" s="35"/>
    </row>
    <row r="2" customFormat="false" ht="21.75" hidden="false" customHeight="true" outlineLevel="0" collapsed="false">
      <c r="B2" s="3" t="s">
        <v>277</v>
      </c>
      <c r="C2" s="3"/>
      <c r="D2" s="3"/>
      <c r="E2" s="3"/>
      <c r="F2" s="3"/>
      <c r="G2" s="3"/>
    </row>
    <row r="3" customFormat="false" ht="30" hidden="false" customHeight="true" outlineLevel="0" collapsed="false">
      <c r="B3" s="37" t="s">
        <v>278</v>
      </c>
      <c r="C3" s="38" t="s">
        <v>87</v>
      </c>
      <c r="D3" s="39" t="s">
        <v>88</v>
      </c>
      <c r="E3" s="40" t="s">
        <v>89</v>
      </c>
      <c r="F3" s="41" t="s">
        <v>90</v>
      </c>
      <c r="G3" s="42" t="s">
        <v>91</v>
      </c>
    </row>
    <row r="4" customFormat="false" ht="51.75" hidden="false" customHeight="true" outlineLevel="0" collapsed="false">
      <c r="B4" s="43" t="s">
        <v>279</v>
      </c>
      <c r="C4" s="71" t="s">
        <v>280</v>
      </c>
      <c r="D4" s="71" t="s">
        <v>280</v>
      </c>
      <c r="E4" s="71" t="s">
        <v>280</v>
      </c>
      <c r="F4" s="71" t="s">
        <v>280</v>
      </c>
      <c r="G4" s="71" t="s">
        <v>280</v>
      </c>
    </row>
    <row r="5" customFormat="false" ht="51.75" hidden="false" customHeight="true" outlineLevel="0" collapsed="false">
      <c r="B5" s="43" t="s">
        <v>281</v>
      </c>
      <c r="C5" s="72"/>
      <c r="D5" s="72"/>
      <c r="E5" s="72"/>
      <c r="F5" s="72"/>
      <c r="G5" s="72"/>
    </row>
    <row r="6" customFormat="false" ht="51.75" hidden="false" customHeight="true" outlineLevel="0" collapsed="false">
      <c r="B6" s="43" t="s">
        <v>282</v>
      </c>
      <c r="C6" s="71"/>
      <c r="D6" s="71"/>
      <c r="E6" s="71"/>
      <c r="F6" s="71"/>
      <c r="G6" s="71"/>
    </row>
    <row r="7" customFormat="false" ht="51.75" hidden="false" customHeight="true" outlineLevel="0" collapsed="false">
      <c r="B7" s="43" t="s">
        <v>283</v>
      </c>
      <c r="C7" s="72"/>
      <c r="D7" s="72"/>
      <c r="E7" s="72"/>
      <c r="F7" s="72"/>
      <c r="G7" s="72"/>
    </row>
    <row r="8" customFormat="false" ht="51.75" hidden="false" customHeight="true" outlineLevel="0" collapsed="false">
      <c r="B8" s="43" t="s">
        <v>284</v>
      </c>
      <c r="C8" s="71"/>
      <c r="D8" s="71"/>
      <c r="E8" s="71"/>
      <c r="F8" s="71"/>
      <c r="G8" s="71"/>
    </row>
    <row r="9" customFormat="false" ht="51.75" hidden="false" customHeight="true" outlineLevel="0" collapsed="false">
      <c r="B9" s="43" t="s">
        <v>285</v>
      </c>
      <c r="C9" s="72"/>
      <c r="D9" s="72"/>
      <c r="E9" s="72"/>
      <c r="F9" s="72"/>
      <c r="G9" s="72"/>
    </row>
    <row r="10" customFormat="false" ht="51.75" hidden="false" customHeight="true" outlineLevel="0" collapsed="false">
      <c r="B10" s="43" t="s">
        <v>286</v>
      </c>
      <c r="C10" s="71"/>
      <c r="D10" s="71"/>
      <c r="E10" s="71"/>
      <c r="F10" s="71"/>
      <c r="G10" s="71"/>
    </row>
    <row r="11" customFormat="false" ht="51.75" hidden="false" customHeight="true" outlineLevel="0" collapsed="false">
      <c r="B11" s="43" t="s">
        <v>287</v>
      </c>
      <c r="C11" s="72"/>
      <c r="D11" s="72"/>
      <c r="E11" s="72"/>
      <c r="F11" s="72"/>
      <c r="G11" s="72"/>
    </row>
    <row r="12" customFormat="false" ht="51.75" hidden="false" customHeight="true" outlineLevel="0" collapsed="false">
      <c r="B12" s="43" t="s">
        <v>288</v>
      </c>
      <c r="C12" s="71"/>
      <c r="D12" s="71"/>
      <c r="E12" s="71"/>
      <c r="F12" s="71"/>
      <c r="G12" s="71"/>
    </row>
    <row r="14" customFormat="false" ht="24" hidden="false" customHeight="true" outlineLevel="0" collapsed="false">
      <c r="B14" s="36" t="s">
        <v>289</v>
      </c>
      <c r="C14" s="36"/>
      <c r="D14" s="36"/>
      <c r="E14" s="36"/>
      <c r="F14" s="36"/>
      <c r="G14" s="36"/>
    </row>
    <row r="15" customFormat="false" ht="24" hidden="false" customHeight="true" outlineLevel="0" collapsed="false">
      <c r="B15" s="37" t="s">
        <v>282</v>
      </c>
      <c r="C15" s="37" t="s">
        <v>290</v>
      </c>
      <c r="D15" s="37" t="s">
        <v>291</v>
      </c>
      <c r="E15" s="73" t="s">
        <v>292</v>
      </c>
      <c r="F15" s="73"/>
      <c r="G15" s="73"/>
    </row>
    <row r="16" customFormat="false" ht="27.75" hidden="false" customHeight="true" outlineLevel="0" collapsed="false">
      <c r="B16" s="74" t="s">
        <v>293</v>
      </c>
      <c r="C16" s="52" t="s">
        <v>294</v>
      </c>
      <c r="D16" s="51" t="s">
        <v>295</v>
      </c>
      <c r="E16" s="47" t="s">
        <v>296</v>
      </c>
      <c r="F16" s="47"/>
      <c r="G16" s="47"/>
    </row>
    <row r="17" customFormat="false" ht="27.75" hidden="false" customHeight="true" outlineLevel="0" collapsed="false">
      <c r="B17" s="75" t="s">
        <v>127</v>
      </c>
      <c r="C17" s="54" t="s">
        <v>297</v>
      </c>
      <c r="D17" s="53" t="s">
        <v>298</v>
      </c>
      <c r="E17" s="48" t="s">
        <v>299</v>
      </c>
      <c r="F17" s="48"/>
      <c r="G17" s="48"/>
    </row>
    <row r="18" customFormat="false" ht="27.75" hidden="false" customHeight="true" outlineLevel="0" collapsed="false">
      <c r="B18" s="76" t="s">
        <v>136</v>
      </c>
      <c r="C18" s="52" t="s">
        <v>300</v>
      </c>
      <c r="D18" s="51" t="s">
        <v>301</v>
      </c>
      <c r="E18" s="47" t="s">
        <v>302</v>
      </c>
      <c r="F18" s="47"/>
      <c r="G18" s="47"/>
    </row>
    <row r="19" customFormat="false" ht="27.75" hidden="false" customHeight="true" outlineLevel="0" collapsed="false">
      <c r="B19" s="77" t="s">
        <v>303</v>
      </c>
      <c r="C19" s="54" t="s">
        <v>304</v>
      </c>
      <c r="D19" s="53" t="s">
        <v>305</v>
      </c>
      <c r="E19" s="48" t="s">
        <v>306</v>
      </c>
      <c r="F19" s="48"/>
      <c r="G19" s="48"/>
    </row>
  </sheetData>
  <mergeCells count="8">
    <mergeCell ref="B1:G1"/>
    <mergeCell ref="B2:G2"/>
    <mergeCell ref="B14:G14"/>
    <mergeCell ref="E15:G15"/>
    <mergeCell ref="E16:G16"/>
    <mergeCell ref="E17:G17"/>
    <mergeCell ref="E18:G18"/>
    <mergeCell ref="E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1" width="3"/>
    <col collapsed="false" customWidth="true" hidden="false" outlineLevel="0" max="4" min="3" style="1" width="34"/>
    <col collapsed="false" customWidth="true" hidden="false" outlineLevel="0" max="5" min="5" style="1" width="3"/>
  </cols>
  <sheetData>
    <row r="1" customFormat="false" ht="43.5" hidden="false" customHeight="true" outlineLevel="0" collapsed="false">
      <c r="B1" s="2" t="s">
        <v>307</v>
      </c>
      <c r="C1" s="2"/>
      <c r="D1" s="2"/>
    </row>
    <row r="2" customFormat="false" ht="19.5" hidden="false" customHeight="true" outlineLevel="0" collapsed="false">
      <c r="B2" s="3" t="s">
        <v>308</v>
      </c>
      <c r="C2" s="3"/>
      <c r="D2" s="3"/>
    </row>
    <row r="3" customFormat="false" ht="19.5" hidden="false" customHeight="true" outlineLevel="0" collapsed="false">
      <c r="B3" s="3" t="s">
        <v>309</v>
      </c>
      <c r="C3" s="3"/>
      <c r="D3" s="3"/>
    </row>
    <row r="4" customFormat="false" ht="9.75" hidden="false" customHeight="true" outlineLevel="0" collapsed="false">
      <c r="B4" s="11"/>
      <c r="C4" s="11"/>
      <c r="D4" s="11"/>
    </row>
    <row r="5" customFormat="false" ht="31.5" hidden="false" customHeight="true" outlineLevel="0" collapsed="false">
      <c r="B5" s="78" t="s">
        <v>310</v>
      </c>
      <c r="C5" s="78"/>
      <c r="D5" s="78"/>
    </row>
    <row r="6" customFormat="false" ht="19.5" hidden="false" customHeight="true" outlineLevel="0" collapsed="false">
      <c r="B6" s="79" t="s">
        <v>311</v>
      </c>
      <c r="C6" s="79"/>
      <c r="D6" s="79"/>
    </row>
    <row r="7" customFormat="false" ht="25.5" hidden="false" customHeight="true" outlineLevel="0" collapsed="false">
      <c r="C7" s="80" t="s">
        <v>312</v>
      </c>
      <c r="D7" s="80" t="s">
        <v>313</v>
      </c>
    </row>
    <row r="8" customFormat="false" ht="39.75" hidden="false" customHeight="true" outlineLevel="0" collapsed="false">
      <c r="B8" s="81"/>
      <c r="C8" s="7" t="s">
        <v>314</v>
      </c>
      <c r="D8" s="82" t="s">
        <v>315</v>
      </c>
    </row>
    <row r="9" customFormat="false" ht="39.75" hidden="false" customHeight="true" outlineLevel="0" collapsed="false">
      <c r="B9" s="81"/>
      <c r="C9" s="10" t="s">
        <v>316</v>
      </c>
      <c r="D9" s="82" t="s">
        <v>317</v>
      </c>
    </row>
    <row r="10" customFormat="false" ht="39.75" hidden="false" customHeight="true" outlineLevel="0" collapsed="false">
      <c r="B10" s="81"/>
      <c r="C10" s="7" t="s">
        <v>318</v>
      </c>
      <c r="D10" s="82" t="s">
        <v>319</v>
      </c>
    </row>
    <row r="11" customFormat="false" ht="39.75" hidden="false" customHeight="true" outlineLevel="0" collapsed="false">
      <c r="B11" s="81"/>
      <c r="C11" s="10" t="s">
        <v>320</v>
      </c>
      <c r="D11" s="82" t="s">
        <v>321</v>
      </c>
    </row>
    <row r="12" customFormat="false" ht="39.75" hidden="false" customHeight="true" outlineLevel="0" collapsed="false">
      <c r="B12" s="81"/>
      <c r="C12" s="7" t="s">
        <v>322</v>
      </c>
      <c r="D12" s="82" t="s">
        <v>323</v>
      </c>
    </row>
    <row r="13" customFormat="false" ht="39.75" hidden="false" customHeight="true" outlineLevel="0" collapsed="false">
      <c r="B13" s="81"/>
      <c r="C13" s="10" t="s">
        <v>324</v>
      </c>
      <c r="D13" s="82" t="s">
        <v>325</v>
      </c>
    </row>
    <row r="14" customFormat="false" ht="27.75" hidden="false" customHeight="true" outlineLevel="0" collapsed="false">
      <c r="B14" s="83"/>
      <c r="C14" s="84" t="s">
        <v>326</v>
      </c>
      <c r="D14" s="84"/>
    </row>
    <row r="15" customFormat="false" ht="9.75" hidden="false" customHeight="true" outlineLevel="0" collapsed="false">
      <c r="B15" s="11"/>
      <c r="C15" s="11"/>
      <c r="D15" s="11"/>
    </row>
    <row r="16" customFormat="false" ht="31.5" hidden="false" customHeight="true" outlineLevel="0" collapsed="false">
      <c r="B16" s="85" t="s">
        <v>327</v>
      </c>
      <c r="C16" s="85"/>
      <c r="D16" s="85"/>
    </row>
    <row r="17" customFormat="false" ht="19.5" hidden="false" customHeight="true" outlineLevel="0" collapsed="false">
      <c r="B17" s="86" t="s">
        <v>328</v>
      </c>
      <c r="C17" s="86"/>
      <c r="D17" s="86"/>
    </row>
    <row r="18" customFormat="false" ht="25.5" hidden="false" customHeight="true" outlineLevel="0" collapsed="false">
      <c r="C18" s="87" t="s">
        <v>312</v>
      </c>
      <c r="D18" s="87" t="s">
        <v>313</v>
      </c>
    </row>
    <row r="19" customFormat="false" ht="39.75" hidden="false" customHeight="true" outlineLevel="0" collapsed="false">
      <c r="B19" s="81"/>
      <c r="C19" s="7" t="s">
        <v>329</v>
      </c>
      <c r="D19" s="82" t="s">
        <v>330</v>
      </c>
    </row>
    <row r="20" customFormat="false" ht="39.75" hidden="false" customHeight="true" outlineLevel="0" collapsed="false">
      <c r="B20" s="81"/>
      <c r="C20" s="10" t="s">
        <v>331</v>
      </c>
      <c r="D20" s="82" t="s">
        <v>332</v>
      </c>
    </row>
    <row r="21" customFormat="false" ht="39.75" hidden="false" customHeight="true" outlineLevel="0" collapsed="false">
      <c r="B21" s="81"/>
      <c r="C21" s="7" t="s">
        <v>333</v>
      </c>
      <c r="D21" s="82" t="s">
        <v>334</v>
      </c>
    </row>
    <row r="22" customFormat="false" ht="39.75" hidden="false" customHeight="true" outlineLevel="0" collapsed="false">
      <c r="B22" s="81"/>
      <c r="C22" s="10" t="s">
        <v>335</v>
      </c>
      <c r="D22" s="82" t="s">
        <v>336</v>
      </c>
    </row>
    <row r="23" customFormat="false" ht="39.75" hidden="false" customHeight="true" outlineLevel="0" collapsed="false">
      <c r="B23" s="81"/>
      <c r="C23" s="7" t="s">
        <v>337</v>
      </c>
      <c r="D23" s="82" t="s">
        <v>338</v>
      </c>
    </row>
    <row r="24" customFormat="false" ht="39.75" hidden="false" customHeight="true" outlineLevel="0" collapsed="false">
      <c r="B24" s="81"/>
      <c r="C24" s="10" t="s">
        <v>339</v>
      </c>
      <c r="D24" s="82" t="s">
        <v>340</v>
      </c>
    </row>
    <row r="25" customFormat="false" ht="27.75" hidden="false" customHeight="true" outlineLevel="0" collapsed="false">
      <c r="B25" s="88"/>
      <c r="C25" s="84" t="s">
        <v>341</v>
      </c>
      <c r="D25" s="84"/>
    </row>
    <row r="26" customFormat="false" ht="9.75" hidden="false" customHeight="true" outlineLevel="0" collapsed="false">
      <c r="B26" s="11"/>
      <c r="C26" s="11"/>
      <c r="D26" s="11"/>
    </row>
    <row r="27" customFormat="false" ht="31.5" hidden="false" customHeight="true" outlineLevel="0" collapsed="false">
      <c r="B27" s="89" t="s">
        <v>342</v>
      </c>
      <c r="C27" s="89"/>
      <c r="D27" s="89"/>
    </row>
    <row r="28" customFormat="false" ht="19.5" hidden="false" customHeight="true" outlineLevel="0" collapsed="false">
      <c r="B28" s="90" t="s">
        <v>343</v>
      </c>
      <c r="C28" s="90"/>
      <c r="D28" s="90"/>
    </row>
    <row r="29" customFormat="false" ht="25.5" hidden="false" customHeight="true" outlineLevel="0" collapsed="false">
      <c r="C29" s="91" t="s">
        <v>312</v>
      </c>
      <c r="D29" s="91" t="s">
        <v>313</v>
      </c>
    </row>
    <row r="30" customFormat="false" ht="39.75" hidden="false" customHeight="true" outlineLevel="0" collapsed="false">
      <c r="B30" s="92"/>
      <c r="C30" s="14" t="s">
        <v>344</v>
      </c>
      <c r="D30" s="82" t="s">
        <v>345</v>
      </c>
    </row>
    <row r="31" customFormat="false" ht="39.75" hidden="false" customHeight="true" outlineLevel="0" collapsed="false">
      <c r="B31" s="92"/>
      <c r="C31" s="10" t="s">
        <v>346</v>
      </c>
      <c r="D31" s="82" t="s">
        <v>347</v>
      </c>
    </row>
    <row r="32" customFormat="false" ht="39.75" hidden="false" customHeight="true" outlineLevel="0" collapsed="false">
      <c r="B32" s="92"/>
      <c r="C32" s="14" t="s">
        <v>348</v>
      </c>
      <c r="D32" s="82" t="s">
        <v>349</v>
      </c>
    </row>
    <row r="33" customFormat="false" ht="39.75" hidden="false" customHeight="true" outlineLevel="0" collapsed="false">
      <c r="B33" s="92"/>
      <c r="C33" s="10" t="s">
        <v>350</v>
      </c>
      <c r="D33" s="82" t="s">
        <v>351</v>
      </c>
    </row>
    <row r="34" customFormat="false" ht="39.75" hidden="false" customHeight="true" outlineLevel="0" collapsed="false">
      <c r="B34" s="92"/>
      <c r="C34" s="14" t="s">
        <v>352</v>
      </c>
      <c r="D34" s="82" t="s">
        <v>353</v>
      </c>
    </row>
    <row r="35" customFormat="false" ht="39.75" hidden="false" customHeight="true" outlineLevel="0" collapsed="false">
      <c r="B35" s="92"/>
      <c r="C35" s="10" t="s">
        <v>354</v>
      </c>
      <c r="D35" s="82" t="s">
        <v>355</v>
      </c>
    </row>
    <row r="36" customFormat="false" ht="27.75" hidden="false" customHeight="true" outlineLevel="0" collapsed="false">
      <c r="B36" s="93"/>
      <c r="C36" s="84" t="s">
        <v>356</v>
      </c>
      <c r="D36" s="84"/>
    </row>
    <row r="37" customFormat="false" ht="9.75" hidden="false" customHeight="true" outlineLevel="0" collapsed="false">
      <c r="B37" s="11"/>
      <c r="C37" s="11"/>
      <c r="D37" s="11"/>
    </row>
    <row r="38" customFormat="false" ht="31.5" hidden="false" customHeight="true" outlineLevel="0" collapsed="false">
      <c r="B38" s="94" t="s">
        <v>357</v>
      </c>
      <c r="C38" s="94"/>
      <c r="D38" s="94"/>
    </row>
    <row r="39" customFormat="false" ht="19.5" hidden="false" customHeight="true" outlineLevel="0" collapsed="false">
      <c r="B39" s="95" t="s">
        <v>358</v>
      </c>
      <c r="C39" s="95"/>
      <c r="D39" s="95"/>
    </row>
    <row r="40" customFormat="false" ht="25.5" hidden="false" customHeight="true" outlineLevel="0" collapsed="false">
      <c r="C40" s="96" t="s">
        <v>312</v>
      </c>
      <c r="D40" s="96" t="s">
        <v>313</v>
      </c>
    </row>
    <row r="41" customFormat="false" ht="39.75" hidden="false" customHeight="true" outlineLevel="0" collapsed="false">
      <c r="B41" s="97"/>
      <c r="C41" s="18" t="s">
        <v>359</v>
      </c>
      <c r="D41" s="82" t="s">
        <v>360</v>
      </c>
    </row>
    <row r="42" customFormat="false" ht="39.75" hidden="false" customHeight="true" outlineLevel="0" collapsed="false">
      <c r="B42" s="97"/>
      <c r="C42" s="10" t="s">
        <v>361</v>
      </c>
      <c r="D42" s="82" t="s">
        <v>362</v>
      </c>
    </row>
    <row r="43" customFormat="false" ht="39.75" hidden="false" customHeight="true" outlineLevel="0" collapsed="false">
      <c r="B43" s="97"/>
      <c r="C43" s="18" t="s">
        <v>363</v>
      </c>
      <c r="D43" s="82" t="s">
        <v>364</v>
      </c>
    </row>
    <row r="44" customFormat="false" ht="39.75" hidden="false" customHeight="true" outlineLevel="0" collapsed="false">
      <c r="B44" s="97"/>
      <c r="C44" s="10" t="s">
        <v>365</v>
      </c>
      <c r="D44" s="82" t="s">
        <v>366</v>
      </c>
    </row>
    <row r="45" customFormat="false" ht="39.75" hidden="false" customHeight="true" outlineLevel="0" collapsed="false">
      <c r="B45" s="97"/>
      <c r="C45" s="18" t="s">
        <v>367</v>
      </c>
      <c r="D45" s="82" t="s">
        <v>368</v>
      </c>
    </row>
    <row r="46" customFormat="false" ht="39.75" hidden="false" customHeight="true" outlineLevel="0" collapsed="false">
      <c r="B46" s="97"/>
      <c r="C46" s="10" t="s">
        <v>369</v>
      </c>
      <c r="D46" s="82" t="s">
        <v>370</v>
      </c>
    </row>
    <row r="47" customFormat="false" ht="27.75" hidden="false" customHeight="true" outlineLevel="0" collapsed="false">
      <c r="B47" s="98"/>
      <c r="C47" s="84" t="s">
        <v>371</v>
      </c>
      <c r="D47" s="84"/>
    </row>
    <row r="48" customFormat="false" ht="9.75" hidden="false" customHeight="true" outlineLevel="0" collapsed="false">
      <c r="B48" s="11"/>
      <c r="C48" s="11"/>
      <c r="D48" s="11"/>
    </row>
    <row r="49" customFormat="false" ht="31.5" hidden="false" customHeight="true" outlineLevel="0" collapsed="false">
      <c r="B49" s="99" t="s">
        <v>372</v>
      </c>
      <c r="C49" s="99"/>
      <c r="D49" s="99"/>
    </row>
    <row r="50" customFormat="false" ht="19.5" hidden="false" customHeight="true" outlineLevel="0" collapsed="false">
      <c r="B50" s="100" t="s">
        <v>373</v>
      </c>
      <c r="C50" s="100"/>
      <c r="D50" s="100"/>
    </row>
    <row r="51" customFormat="false" ht="25.5" hidden="false" customHeight="true" outlineLevel="0" collapsed="false">
      <c r="C51" s="101" t="s">
        <v>312</v>
      </c>
      <c r="D51" s="101" t="s">
        <v>313</v>
      </c>
    </row>
    <row r="52" customFormat="false" ht="39.75" hidden="false" customHeight="true" outlineLevel="0" collapsed="false">
      <c r="B52" s="102"/>
      <c r="C52" s="26" t="s">
        <v>374</v>
      </c>
      <c r="D52" s="82" t="s">
        <v>375</v>
      </c>
    </row>
    <row r="53" customFormat="false" ht="39.75" hidden="false" customHeight="true" outlineLevel="0" collapsed="false">
      <c r="B53" s="102"/>
      <c r="C53" s="10" t="s">
        <v>376</v>
      </c>
      <c r="D53" s="82" t="s">
        <v>377</v>
      </c>
    </row>
    <row r="54" customFormat="false" ht="39.75" hidden="false" customHeight="true" outlineLevel="0" collapsed="false">
      <c r="B54" s="102"/>
      <c r="C54" s="26" t="s">
        <v>378</v>
      </c>
      <c r="D54" s="82" t="s">
        <v>379</v>
      </c>
    </row>
    <row r="55" customFormat="false" ht="39.75" hidden="false" customHeight="true" outlineLevel="0" collapsed="false">
      <c r="B55" s="102"/>
      <c r="C55" s="10" t="s">
        <v>380</v>
      </c>
      <c r="D55" s="82" t="s">
        <v>381</v>
      </c>
    </row>
    <row r="56" customFormat="false" ht="39.75" hidden="false" customHeight="true" outlineLevel="0" collapsed="false">
      <c r="B56" s="102"/>
      <c r="C56" s="26" t="s">
        <v>382</v>
      </c>
      <c r="D56" s="82" t="s">
        <v>383</v>
      </c>
    </row>
    <row r="57" customFormat="false" ht="39.75" hidden="false" customHeight="true" outlineLevel="0" collapsed="false">
      <c r="B57" s="102"/>
      <c r="C57" s="10" t="s">
        <v>384</v>
      </c>
      <c r="D57" s="82" t="s">
        <v>385</v>
      </c>
    </row>
    <row r="58" customFormat="false" ht="27.75" hidden="false" customHeight="true" outlineLevel="0" collapsed="false">
      <c r="B58" s="103"/>
      <c r="C58" s="84" t="s">
        <v>386</v>
      </c>
      <c r="D58" s="84"/>
    </row>
    <row r="59" customFormat="false" ht="9.75" hidden="false" customHeight="true" outlineLevel="0" collapsed="false">
      <c r="B59" s="11"/>
      <c r="C59" s="11"/>
      <c r="D59" s="11"/>
    </row>
    <row r="60" customFormat="false" ht="31.5" hidden="false" customHeight="true" outlineLevel="0" collapsed="false">
      <c r="B60" s="104" t="s">
        <v>387</v>
      </c>
      <c r="C60" s="104"/>
      <c r="D60" s="104"/>
    </row>
    <row r="61" customFormat="false" ht="19.5" hidden="false" customHeight="true" outlineLevel="0" collapsed="false">
      <c r="B61" s="105" t="s">
        <v>388</v>
      </c>
      <c r="C61" s="105"/>
      <c r="D61" s="105"/>
    </row>
    <row r="62" customFormat="false" ht="25.5" hidden="false" customHeight="true" outlineLevel="0" collapsed="false">
      <c r="C62" s="106" t="s">
        <v>312</v>
      </c>
      <c r="D62" s="106" t="s">
        <v>313</v>
      </c>
    </row>
    <row r="63" customFormat="false" ht="39.75" hidden="false" customHeight="true" outlineLevel="0" collapsed="false">
      <c r="B63" s="107"/>
      <c r="C63" s="30" t="s">
        <v>389</v>
      </c>
      <c r="D63" s="82" t="s">
        <v>390</v>
      </c>
    </row>
    <row r="64" customFormat="false" ht="39.75" hidden="false" customHeight="true" outlineLevel="0" collapsed="false">
      <c r="B64" s="107"/>
      <c r="C64" s="10" t="s">
        <v>391</v>
      </c>
      <c r="D64" s="82" t="s">
        <v>392</v>
      </c>
    </row>
    <row r="65" customFormat="false" ht="39.75" hidden="false" customHeight="true" outlineLevel="0" collapsed="false">
      <c r="B65" s="107"/>
      <c r="C65" s="30" t="s">
        <v>393</v>
      </c>
      <c r="D65" s="82" t="s">
        <v>394</v>
      </c>
    </row>
    <row r="66" customFormat="false" ht="39.75" hidden="false" customHeight="true" outlineLevel="0" collapsed="false">
      <c r="B66" s="107"/>
      <c r="C66" s="10" t="s">
        <v>395</v>
      </c>
      <c r="D66" s="82" t="s">
        <v>396</v>
      </c>
    </row>
    <row r="67" customFormat="false" ht="39.75" hidden="false" customHeight="true" outlineLevel="0" collapsed="false">
      <c r="B67" s="107"/>
      <c r="C67" s="30" t="s">
        <v>397</v>
      </c>
      <c r="D67" s="82" t="s">
        <v>398</v>
      </c>
    </row>
    <row r="68" customFormat="false" ht="39.75" hidden="false" customHeight="true" outlineLevel="0" collapsed="false">
      <c r="B68" s="107"/>
      <c r="C68" s="10" t="s">
        <v>399</v>
      </c>
      <c r="D68" s="82" t="s">
        <v>400</v>
      </c>
    </row>
    <row r="69" customFormat="false" ht="27.75" hidden="false" customHeight="true" outlineLevel="0" collapsed="false">
      <c r="B69" s="108"/>
      <c r="C69" s="84" t="s">
        <v>401</v>
      </c>
      <c r="D69" s="84"/>
    </row>
    <row r="70" customFormat="false" ht="9.75" hidden="false" customHeight="true" outlineLevel="0" collapsed="false">
      <c r="B70" s="11"/>
      <c r="C70" s="11"/>
      <c r="D70" s="11"/>
    </row>
    <row r="71" customFormat="false" ht="31.5" hidden="false" customHeight="true" outlineLevel="0" collapsed="false">
      <c r="B71" s="85" t="s">
        <v>402</v>
      </c>
      <c r="C71" s="85"/>
      <c r="D71" s="85"/>
    </row>
    <row r="72" customFormat="false" ht="19.5" hidden="false" customHeight="true" outlineLevel="0" collapsed="false">
      <c r="B72" s="86" t="s">
        <v>403</v>
      </c>
      <c r="C72" s="86"/>
      <c r="D72" s="86"/>
    </row>
    <row r="73" customFormat="false" ht="25.5" hidden="false" customHeight="true" outlineLevel="0" collapsed="false">
      <c r="C73" s="87" t="s">
        <v>312</v>
      </c>
      <c r="D73" s="87" t="s">
        <v>313</v>
      </c>
    </row>
    <row r="74" customFormat="false" ht="39.75" hidden="false" customHeight="true" outlineLevel="0" collapsed="false">
      <c r="B74" s="81"/>
      <c r="C74" s="7" t="s">
        <v>404</v>
      </c>
      <c r="D74" s="82" t="s">
        <v>405</v>
      </c>
    </row>
    <row r="75" customFormat="false" ht="39.75" hidden="false" customHeight="true" outlineLevel="0" collapsed="false">
      <c r="B75" s="81"/>
      <c r="C75" s="10" t="s">
        <v>406</v>
      </c>
      <c r="D75" s="82" t="s">
        <v>407</v>
      </c>
    </row>
    <row r="76" customFormat="false" ht="39.75" hidden="false" customHeight="true" outlineLevel="0" collapsed="false">
      <c r="B76" s="81"/>
      <c r="C76" s="7" t="s">
        <v>408</v>
      </c>
      <c r="D76" s="82" t="s">
        <v>409</v>
      </c>
    </row>
    <row r="77" customFormat="false" ht="39.75" hidden="false" customHeight="true" outlineLevel="0" collapsed="false">
      <c r="B77" s="81"/>
      <c r="C77" s="10" t="s">
        <v>410</v>
      </c>
      <c r="D77" s="82" t="s">
        <v>411</v>
      </c>
    </row>
    <row r="78" customFormat="false" ht="39.75" hidden="false" customHeight="true" outlineLevel="0" collapsed="false">
      <c r="B78" s="81"/>
      <c r="C78" s="7" t="s">
        <v>412</v>
      </c>
      <c r="D78" s="82" t="s">
        <v>413</v>
      </c>
    </row>
    <row r="79" customFormat="false" ht="39.75" hidden="false" customHeight="true" outlineLevel="0" collapsed="false">
      <c r="B79" s="81"/>
      <c r="C79" s="10" t="s">
        <v>414</v>
      </c>
      <c r="D79" s="82" t="s">
        <v>323</v>
      </c>
    </row>
    <row r="80" customFormat="false" ht="27.75" hidden="false" customHeight="true" outlineLevel="0" collapsed="false">
      <c r="B80" s="88"/>
      <c r="C80" s="84" t="s">
        <v>415</v>
      </c>
      <c r="D80" s="84"/>
    </row>
    <row r="81" customFormat="false" ht="9.75" hidden="false" customHeight="true" outlineLevel="0" collapsed="false">
      <c r="B81" s="11"/>
      <c r="C81" s="11"/>
      <c r="D81" s="11"/>
    </row>
    <row r="82" customFormat="false" ht="31.5" hidden="false" customHeight="true" outlineLevel="0" collapsed="false">
      <c r="B82" s="109" t="s">
        <v>416</v>
      </c>
      <c r="C82" s="109"/>
      <c r="D82" s="109"/>
    </row>
    <row r="83" customFormat="false" ht="19.5" hidden="false" customHeight="true" outlineLevel="0" collapsed="false">
      <c r="B83" s="110" t="s">
        <v>417</v>
      </c>
      <c r="C83" s="110"/>
      <c r="D83" s="110"/>
    </row>
    <row r="84" customFormat="false" ht="25.5" hidden="false" customHeight="true" outlineLevel="0" collapsed="false">
      <c r="C84" s="111" t="s">
        <v>418</v>
      </c>
      <c r="D84" s="111" t="s">
        <v>419</v>
      </c>
    </row>
    <row r="85" customFormat="false" ht="39.75" hidden="false" customHeight="true" outlineLevel="0" collapsed="false">
      <c r="B85" s="112"/>
      <c r="C85" s="113" t="s">
        <v>420</v>
      </c>
      <c r="D85" s="82" t="s">
        <v>421</v>
      </c>
    </row>
    <row r="86" customFormat="false" ht="39.75" hidden="false" customHeight="true" outlineLevel="0" collapsed="false">
      <c r="B86" s="112"/>
      <c r="C86" s="10" t="s">
        <v>422</v>
      </c>
      <c r="D86" s="82" t="s">
        <v>423</v>
      </c>
    </row>
    <row r="87" customFormat="false" ht="39.75" hidden="false" customHeight="true" outlineLevel="0" collapsed="false">
      <c r="B87" s="112"/>
      <c r="C87" s="113" t="s">
        <v>424</v>
      </c>
      <c r="D87" s="82" t="s">
        <v>425</v>
      </c>
    </row>
    <row r="88" customFormat="false" ht="39.75" hidden="false" customHeight="true" outlineLevel="0" collapsed="false">
      <c r="B88" s="112"/>
      <c r="C88" s="10" t="s">
        <v>426</v>
      </c>
      <c r="D88" s="82" t="s">
        <v>427</v>
      </c>
    </row>
    <row r="89" customFormat="false" ht="39.75" hidden="false" customHeight="true" outlineLevel="0" collapsed="false">
      <c r="B89" s="112"/>
      <c r="C89" s="113" t="s">
        <v>428</v>
      </c>
      <c r="D89" s="82" t="s">
        <v>429</v>
      </c>
    </row>
    <row r="90" customFormat="false" ht="39.75" hidden="false" customHeight="true" outlineLevel="0" collapsed="false">
      <c r="B90" s="112"/>
      <c r="C90" s="10" t="s">
        <v>430</v>
      </c>
      <c r="D90" s="82" t="s">
        <v>431</v>
      </c>
    </row>
    <row r="91" customFormat="false" ht="39.75" hidden="false" customHeight="true" outlineLevel="0" collapsed="false">
      <c r="B91" s="112"/>
      <c r="C91" s="113" t="s">
        <v>432</v>
      </c>
      <c r="D91" s="82" t="s">
        <v>323</v>
      </c>
    </row>
    <row r="92" customFormat="false" ht="39.75" hidden="false" customHeight="true" outlineLevel="0" collapsed="false">
      <c r="B92" s="112"/>
      <c r="C92" s="10" t="s">
        <v>433</v>
      </c>
      <c r="D92" s="82" t="s">
        <v>434</v>
      </c>
    </row>
    <row r="93" customFormat="false" ht="39.75" hidden="false" customHeight="true" outlineLevel="0" collapsed="false">
      <c r="B93" s="112"/>
      <c r="C93" s="113" t="s">
        <v>435</v>
      </c>
      <c r="D93" s="82" t="s">
        <v>436</v>
      </c>
    </row>
    <row r="94" customFormat="false" ht="39.75" hidden="false" customHeight="true" outlineLevel="0" collapsed="false">
      <c r="B94" s="112"/>
      <c r="C94" s="10" t="s">
        <v>437</v>
      </c>
      <c r="D94" s="82" t="s">
        <v>438</v>
      </c>
    </row>
    <row r="95" customFormat="false" ht="9.75" hidden="false" customHeight="true" outlineLevel="0" collapsed="false">
      <c r="B95" s="11"/>
      <c r="C95" s="11"/>
      <c r="D95" s="11"/>
    </row>
  </sheetData>
  <mergeCells count="26">
    <mergeCell ref="B1:D1"/>
    <mergeCell ref="B2:D2"/>
    <mergeCell ref="B3:D3"/>
    <mergeCell ref="B5:D5"/>
    <mergeCell ref="B6:D6"/>
    <mergeCell ref="C14:D14"/>
    <mergeCell ref="B16:D16"/>
    <mergeCell ref="B17:D17"/>
    <mergeCell ref="C25:D25"/>
    <mergeCell ref="B27:D27"/>
    <mergeCell ref="B28:D28"/>
    <mergeCell ref="C36:D36"/>
    <mergeCell ref="B38:D38"/>
    <mergeCell ref="B39:D39"/>
    <mergeCell ref="C47:D47"/>
    <mergeCell ref="B49:D49"/>
    <mergeCell ref="B50:D50"/>
    <mergeCell ref="C58:D58"/>
    <mergeCell ref="B60:D60"/>
    <mergeCell ref="B61:D61"/>
    <mergeCell ref="C69:D69"/>
    <mergeCell ref="B71:D71"/>
    <mergeCell ref="B72:D72"/>
    <mergeCell ref="C80:D80"/>
    <mergeCell ref="B82:D82"/>
    <mergeCell ref="B83:D83"/>
  </mergeCells>
  <hyperlinks>
    <hyperlink ref="D8" r:id="rId1" display="NNG: Stakeholder Buy-In for UX Research"/>
    <hyperlink ref="D9" r:id="rId2" display="NNG: Research Learning Spirals"/>
    <hyperlink ref="D10" r:id="rId3" display="UX Collective: Aligning Stakeholders"/>
    <hyperlink ref="D11" r:id="rId4" display="Maze: Research Ops Handbook"/>
    <hyperlink ref="D12" r:id="rId5" display="ResearchOps Community"/>
    <hyperlink ref="D13" r:id="rId6" display="NNG: Documenting UX Research"/>
    <hyperlink ref="D19" r:id="rId7" display="NNG: Research Questions vs. Business Goals"/>
    <hyperlink ref="D20" r:id="rId8" display="Usability.gov: Planning a Usability Test"/>
    <hyperlink ref="D21" r:id="rId9" display="IxDF: Formulating UX Research Goals"/>
    <hyperlink ref="D22" r:id="rId10" display="NNG: Measuring Usability"/>
    <hyperlink ref="D23" r:id="rId11" display="NNG: Benchmarking UX"/>
    <hyperlink ref="D24" r:id="rId12" display="UX Research Field Guide (Dovetail)"/>
    <hyperlink ref="D30" r:id="rId13" display="NNG: Writing Usability Test Tasks"/>
    <hyperlink ref="D31" r:id="rId14" display="NNG: Priming in Usability Testing"/>
    <hyperlink ref="D32" r:id="rId15" display="Usability.gov: Task Development"/>
    <hyperlink ref="D33" r:id="rId16" display="NNG: Pilot Testing"/>
    <hyperlink ref="D34" r:id="rId17" display="Maze: Usability Test Structure"/>
    <hyperlink ref="D35" r:id="rId18" display="IxDF: Test Task Sequencing"/>
    <hyperlink ref="D41" r:id="rId19" display="NNG: Recruiting Usability Participants"/>
    <hyperlink ref="D42" r:id="rId20" display="NNG: How Many Test Users?"/>
    <hyperlink ref="D43" r:id="rId21" display="UserZoom: Recruiting for Research"/>
    <hyperlink ref="D44" r:id="rId22" display="Dovetail: Recruitment Best Practices"/>
    <hyperlink ref="D45" r:id="rId23" display="NNG: Participant Selection"/>
    <hyperlink ref="D46" r:id="rId24" display="ResearchOps: Participant Management"/>
    <hyperlink ref="D52" r:id="rId25" display="NNG: Scoring Usability Tests"/>
    <hyperlink ref="D53" r:id="rId26" display="NNG: Note-taking During Testing"/>
    <hyperlink ref="D54" r:id="rId27" display="Usability.gov: Time on Task"/>
    <hyperlink ref="D55" r:id="rId28" display="NNG: Observers in Usability Studies"/>
    <hyperlink ref="D56" r:id="rId29" display="Maze: Remote Testing Setup"/>
    <hyperlink ref="D57" r:id="rId30" display="NNG: Debrief Sessions"/>
    <hyperlink ref="D63" r:id="rId31" display="NNG: Affinity Diagramming"/>
    <hyperlink ref="D64" r:id="rId32" display="NNG: Success Rate Metrics"/>
    <hyperlink ref="D65" r:id="rId33" display="NNG: Severity Ratings"/>
    <hyperlink ref="D66" r:id="rId34" display="IxDF: Usability Analysis Methods"/>
    <hyperlink ref="D67" r:id="rId35" display="NNG: Collaborative Analysis"/>
    <hyperlink ref="D68" r:id="rId36" display="Dovetail: Communicating Research"/>
    <hyperlink ref="D74" r:id="rId37" display="NNG: Communicating Research Findings"/>
    <hyperlink ref="D75" r:id="rId38" display="NNG: Highlight Reels"/>
    <hyperlink ref="D76" r:id="rId39" display="UX Collective: Writing Research Reports"/>
    <hyperlink ref="D77" r:id="rId40" display="NNG: Executive Summaries for Research"/>
    <hyperlink ref="D78" r:id="rId41" display="Dovetail: Building a Research Repository"/>
    <hyperlink ref="D79" r:id="rId42" display="ResearchOps Community"/>
    <hyperlink ref="D85" r:id="rId43" display="Nielsen Norman Group (nngroup.com)"/>
    <hyperlink ref="D86" r:id="rId44" display="Usability.gov — How-To &amp; Tools"/>
    <hyperlink ref="D87" r:id="rId45" display="Interaction Design Foundation — Usability Testing"/>
    <hyperlink ref="D88" r:id="rId46" display="Maze Research Hub"/>
    <hyperlink ref="D89" r:id="rId47" display="Dovetail UX Research Field Guide"/>
    <hyperlink ref="D90" r:id="rId48" display="Steve Krug — Rocket Surgery Made Easy"/>
    <hyperlink ref="D91" r:id="rId49" display="ResearchOps Community"/>
    <hyperlink ref="D92" r:id="rId50" display="System Usability Scale (SUS) — Brooke 1996"/>
    <hyperlink ref="D93" r:id="rId51" display="Single Ease Question (SEQ) — NNG"/>
    <hyperlink ref="D94" r:id="rId52" display="WCAG 2.2 Accessibility Guidelin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2026-04-20T11:38:43Z</dcterms:created>
  <dc:creator>openpyxl</dc:creator>
  <dc:description/>
  <dc:language>en-US</dc:language>
  <cp:lastModifiedBy/>
  <dcterms:modified xsi:type="dcterms:W3CDTF">2026-04-22T12:10:30Z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