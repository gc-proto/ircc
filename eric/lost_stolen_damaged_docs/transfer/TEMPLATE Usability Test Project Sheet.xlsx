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GitHub\ircc\eric\lost_stolen_damaged_docs\transfer\"/>
    </mc:Choice>
  </mc:AlternateContent>
  <xr:revisionPtr revIDLastSave="0" documentId="13_ncr:1_{E6D06775-1AA0-4C67-8008-7505D337D593}" xr6:coauthVersionLast="47" xr6:coauthVersionMax="47" xr10:uidLastSave="{00000000-0000-0000-0000-000000000000}"/>
  <bookViews>
    <workbookView xWindow="-120" yWindow="-120" windowWidth="29040" windowHeight="15720" tabRatio="500" activeTab="1" xr2:uid="{00000000-000D-0000-FFFF-FFFF00000000}"/>
  </bookViews>
  <sheets>
    <sheet name="Kickoff Questions" sheetId="1" r:id="rId1"/>
    <sheet name="Summary" sheetId="2" r:id="rId2"/>
    <sheet name="Test Goals" sheetId="3" r:id="rId3"/>
    <sheet name="Tasks" sheetId="4" r:id="rId4"/>
    <sheet name="Participants" sheetId="5" r:id="rId5"/>
    <sheet name="Data" sheetId="6" r:id="rId6"/>
    <sheet name="Analysis" sheetId="7" r:id="rId7"/>
    <sheet name="Help &amp; Guidance"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2" i="2" l="1"/>
  <c r="G11" i="2"/>
  <c r="G10" i="2"/>
  <c r="G9" i="2"/>
  <c r="G8" i="2"/>
  <c r="G7" i="2"/>
  <c r="G6" i="2"/>
  <c r="G5" i="2"/>
  <c r="G4" i="2"/>
  <c r="F12" i="2"/>
  <c r="F11" i="2"/>
  <c r="F10" i="2"/>
  <c r="F9" i="2"/>
  <c r="F8" i="2"/>
  <c r="F7" i="2"/>
  <c r="F6" i="2"/>
  <c r="F5" i="2"/>
  <c r="F4" i="2"/>
  <c r="E12" i="2"/>
  <c r="E11" i="2"/>
  <c r="E10" i="2"/>
  <c r="E9" i="2"/>
  <c r="E8" i="2"/>
  <c r="E7" i="2"/>
  <c r="E6" i="2"/>
  <c r="E5" i="2"/>
  <c r="E4" i="2"/>
  <c r="D12" i="2"/>
  <c r="D11" i="2"/>
  <c r="D10" i="2"/>
  <c r="D9" i="2"/>
  <c r="D8" i="2"/>
  <c r="D7" i="2"/>
  <c r="D6" i="2"/>
  <c r="D5" i="2"/>
  <c r="D4" i="2"/>
  <c r="C12" i="2"/>
  <c r="C11" i="2"/>
  <c r="C10" i="2"/>
  <c r="C9" i="2"/>
  <c r="C8" i="2"/>
  <c r="C7" i="2"/>
  <c r="C6" i="2"/>
  <c r="C5" i="2"/>
  <c r="C4" i="2"/>
  <c r="C17" i="2"/>
</calcChain>
</file>

<file path=xl/sharedStrings.xml><?xml version="1.0" encoding="utf-8"?>
<sst xmlns="http://schemas.openxmlformats.org/spreadsheetml/2006/main" count="459" uniqueCount="352">
  <si>
    <t>USABILITY TEST KICKOFF · Questions to Scope Your Study</t>
  </si>
  <si>
    <t>Question</t>
  </si>
  <si>
    <t>Your Notes</t>
  </si>
  <si>
    <t>›</t>
  </si>
  <si>
    <t>What prompted this research request right now? Was there a specific incident, metric, complaint, or upcoming deadline?</t>
  </si>
  <si>
    <t>Has this product or feature been tested before? If so, what were the findings, and what changed since then?</t>
  </si>
  <si>
    <t>Research Goals &amp; Questions</t>
  </si>
  <si>
    <t>If you could only answer one question from this test, what would it be?</t>
  </si>
  <si>
    <t>Are there any hypotheses you're already working with — things you suspect are true but need to validate or disprove?</t>
  </si>
  <si>
    <t>Are there any areas of the product you specifically want to include or exclude from testing?</t>
  </si>
  <si>
    <t>Is there anything you're worried we might find?</t>
  </si>
  <si>
    <t>Users &amp; Participants</t>
  </si>
  <si>
    <t>Who is the primary target user for this product or feature?</t>
  </si>
  <si>
    <t>Are there distinct user segments or personas we should account for? Should we test all of them, or prioritize one?</t>
  </si>
  <si>
    <t>What level of prior experience with this product should participants have — first-time users, occasional users, power users, or a mix?</t>
  </si>
  <si>
    <t>Are there any technical or domain knowledge requirements for participants (e.g., must be a healthcare professional, must manage a team of 5+)?</t>
  </si>
  <si>
    <t>What devices do your users typically use — desktop, mobile, tablet? Is there a known split?</t>
  </si>
  <si>
    <t>What is the geographic and language distribution of your users? Should the test reflect that?</t>
  </si>
  <si>
    <t>Are there demographics that are particularly important to include or exclude (e.g., accessibility needs, age ranges, tech literacy)?</t>
  </si>
  <si>
    <t>Scope &amp; Tasks</t>
  </si>
  <si>
    <t>What are the specific tasks or user journeys you want us to test?</t>
  </si>
  <si>
    <t>Are these tasks based on actual observed user behaviour, or are they assumed flows?</t>
  </si>
  <si>
    <t>What is the starting point for each task — a specific URL, a particular app state, a logged-in or logged-out experience?</t>
  </si>
  <si>
    <t>Are there tasks you want to include for benchmarking purposes — things you've tested before and want to track over time?</t>
  </si>
  <si>
    <t>What does successful completion of each task look like? Is it binary, or is partial completion meaningful?</t>
  </si>
  <si>
    <t>Should we be testing the current live product, a prototype, or a staging environment?</t>
  </si>
  <si>
    <t>If it's a prototype — how complete is it? Are there dead ends, missing states, or known gaps we should know about?</t>
  </si>
  <si>
    <t>Are there any flows that are broken, incomplete, or should be avoided during testing?</t>
  </si>
  <si>
    <t>Methodology</t>
  </si>
  <si>
    <t>When do you need findings delivered by? Is there a specific decision gate, release date, or meeting this needs to feed into?</t>
  </si>
  <si>
    <t>Working backwards from that — what is the latest we can start recruitment?</t>
  </si>
  <si>
    <t>How much flexibility is there in the timeline if recruitment is slow or technical issues arise?</t>
  </si>
  <si>
    <t>What is the availability of your team to review screeners, discussion guides, and prototypes before fieldwork begins?</t>
  </si>
  <si>
    <t>Will you need a topline readout before the full report, and if so, how quickly after sessions end?</t>
  </si>
  <si>
    <t>What format do you want deliverables in — slide deck, written report, video highlights, a working session, or a combination?</t>
  </si>
  <si>
    <t>Who needs to be in the readout meeting? Are there executive stakeholders who need a shorter version?</t>
  </si>
  <si>
    <t>Stakeholders &amp; Decision-Making</t>
  </si>
  <si>
    <t>Who is the primary point of contact we should work with day-to-day?</t>
  </si>
  <si>
    <t>Are there known internal disagreements about the design we should be aware of — areas where the team is already debating what to do?</t>
  </si>
  <si>
    <t>After the Study</t>
  </si>
  <si>
    <t>Who owns the findings after delivery — who is responsible for tracking what gets acted on?</t>
  </si>
  <si>
    <t>Would you like a follow-up session after the report to work through prioritisation of issues?</t>
  </si>
  <si>
    <t>USABILITY TEST PLAN · Summary Dashboard</t>
  </si>
  <si>
    <t>TASK COMPLETION RATES (by Success Code)</t>
  </si>
  <si>
    <t>Metric</t>
  </si>
  <si>
    <t>Task 1</t>
  </si>
  <si>
    <t>Task 2</t>
  </si>
  <si>
    <t>Task 3</t>
  </si>
  <si>
    <t>Task 4</t>
  </si>
  <si>
    <t>Task 5</t>
  </si>
  <si>
    <t>Success</t>
  </si>
  <si>
    <t>Fail</t>
  </si>
  <si>
    <t>Give Up</t>
  </si>
  <si>
    <t>Technical Issues</t>
  </si>
  <si>
    <t>Other</t>
  </si>
  <si>
    <t>Total Recorded</t>
  </si>
  <si>
    <t>Success Rate</t>
  </si>
  <si>
    <t>TOP-LEVEL FINDINGS SUMMARY</t>
  </si>
  <si>
    <t>Most Critical Issue</t>
  </si>
  <si>
    <t>Most Impacted Task</t>
  </si>
  <si>
    <t>Overall Success Rate</t>
  </si>
  <si>
    <t>Key Recommendation 1</t>
  </si>
  <si>
    <t>Key Recommendation 2</t>
  </si>
  <si>
    <t>Key Recommendation 3</t>
  </si>
  <si>
    <t>Follow-up Questions</t>
  </si>
  <si>
    <t>Next Steps</t>
  </si>
  <si>
    <t>STUDY METADATA</t>
  </si>
  <si>
    <t>Study Title</t>
  </si>
  <si>
    <t>Research Lead</t>
  </si>
  <si>
    <t>Date(s) of Testing</t>
  </si>
  <si>
    <t>STUDY GOALS</t>
  </si>
  <si>
    <t>#</t>
  </si>
  <si>
    <t>Research Goal</t>
  </si>
  <si>
    <t>Why It Matters</t>
  </si>
  <si>
    <t>How It Will Be Measured</t>
  </si>
  <si>
    <t>Priority</t>
  </si>
  <si>
    <t>1</t>
  </si>
  <si>
    <t>Identify usability issues in the main task flow</t>
  </si>
  <si>
    <t>Core functionality must be intuitive for users</t>
  </si>
  <si>
    <t>Usability issues found; time on task</t>
  </si>
  <si>
    <t>High</t>
  </si>
  <si>
    <t>2</t>
  </si>
  <si>
    <t>Assess learnability for first-time users</t>
  </si>
  <si>
    <t>Product targets non-technical audience</t>
  </si>
  <si>
    <t>Task success rate; qualitative feedback</t>
  </si>
  <si>
    <t>3</t>
  </si>
  <si>
    <t>Evaluate satisfaction with UI language &amp; labels</t>
  </si>
  <si>
    <t>Confusing labels increase support load</t>
  </si>
  <si>
    <t>Medium</t>
  </si>
  <si>
    <t>4</t>
  </si>
  <si>
    <t>Time on task per scenario</t>
  </si>
  <si>
    <t>5</t>
  </si>
  <si>
    <t>MEASUREMENT METHODS · Reference</t>
  </si>
  <si>
    <t>Description</t>
  </si>
  <si>
    <t>When to Use</t>
  </si>
  <si>
    <t>Time on Task</t>
  </si>
  <si>
    <t>Efficiency benchmarking; identifying slow flows</t>
  </si>
  <si>
    <t>Task Success Rate</t>
  </si>
  <si>
    <t>% of participants who complete task successfully</t>
  </si>
  <si>
    <t>Core usability health metric</t>
  </si>
  <si>
    <t>Error Rate</t>
  </si>
  <si>
    <t># of errors / incorrect actions per task attempt</t>
  </si>
  <si>
    <t>Identifying misleading UI elements</t>
  </si>
  <si>
    <t>Think-Aloud Feedback</t>
  </si>
  <si>
    <t>Verbal commentary captured during the session</t>
  </si>
  <si>
    <t>Understanding mental models &amp; confusion points</t>
  </si>
  <si>
    <t>USABILITY TEST PLAN · Tasks &amp; Scenarios</t>
  </si>
  <si>
    <t>Define each task scenario, the starting state, success criteria, and researcher notes.</t>
  </si>
  <si>
    <t>Task #</t>
  </si>
  <si>
    <t>Task Title</t>
  </si>
  <si>
    <t>Task Text (shown to participant)</t>
  </si>
  <si>
    <t>Success Criteria</t>
  </si>
  <si>
    <t>Time Limit
(mm:ss)</t>
  </si>
  <si>
    <t>Difficulty
Estimate</t>
  </si>
  <si>
    <t>Researcher Notes</t>
  </si>
  <si>
    <t>T1</t>
  </si>
  <si>
    <t>T2</t>
  </si>
  <si>
    <t>T3</t>
  </si>
  <si>
    <t>T4</t>
  </si>
  <si>
    <t>T5</t>
  </si>
  <si>
    <t>USABILITY TEST PLAN · Participants</t>
  </si>
  <si>
    <t>Section A: Define screening criteria. Section B: Record recruited participant details.</t>
  </si>
  <si>
    <t>SECTION A · Desired Participant Profile &amp; Screening Criteria</t>
  </si>
  <si>
    <t>Target User Group</t>
  </si>
  <si>
    <t>Age Range</t>
  </si>
  <si>
    <t>Tech Proficiency</t>
  </si>
  <si>
    <t>Device Requirement</t>
  </si>
  <si>
    <t>Language</t>
  </si>
  <si>
    <t>Location</t>
  </si>
  <si>
    <t>Exclusion Criteria</t>
  </si>
  <si>
    <t>Sample Size</t>
  </si>
  <si>
    <t>Incentive</t>
  </si>
  <si>
    <t>SECTION B · Recruited Participant Details</t>
  </si>
  <si>
    <t>P #</t>
  </si>
  <si>
    <t>Name / Code</t>
  </si>
  <si>
    <t>Age</t>
  </si>
  <si>
    <t>Country</t>
  </si>
  <si>
    <t>Device Type</t>
  </si>
  <si>
    <t>OS</t>
  </si>
  <si>
    <t>Recruited By</t>
  </si>
  <si>
    <t>Session Date &amp; Time</t>
  </si>
  <si>
    <t>Notes</t>
  </si>
  <si>
    <t>P01</t>
  </si>
  <si>
    <t>P02</t>
  </si>
  <si>
    <t>P03</t>
  </si>
  <si>
    <t>P04</t>
  </si>
  <si>
    <t>P05</t>
  </si>
  <si>
    <t>P06</t>
  </si>
  <si>
    <t>P07</t>
  </si>
  <si>
    <t>P08</t>
  </si>
  <si>
    <t>P09</t>
  </si>
  <si>
    <t>P10</t>
  </si>
  <si>
    <t>P11</t>
  </si>
  <si>
    <t>USABILITY TEST PLAN · Session Data</t>
  </si>
  <si>
    <t>Record each participant's performance per task. Use the Success Code dropdown for outcome classification.</t>
  </si>
  <si>
    <t>TASK 1</t>
  </si>
  <si>
    <t>TASK 2</t>
  </si>
  <si>
    <t>TASK 3</t>
  </si>
  <si>
    <t>TASK 4</t>
  </si>
  <si>
    <t>TASK 5</t>
  </si>
  <si>
    <t>Time
on Task</t>
  </si>
  <si>
    <t>Success
Code</t>
  </si>
  <si>
    <t>Observations / Notes</t>
  </si>
  <si>
    <t>SUCCESS CODE LEGEND</t>
  </si>
  <si>
    <t>Participant completed the task fully and correctly within the time limit.</t>
  </si>
  <si>
    <t>Partial Fail</t>
  </si>
  <si>
    <t>Participant completed the task but with significant errors, help, or workarounds.</t>
  </si>
  <si>
    <t>Participant did not complete the task and gave an incorrect outcome.</t>
  </si>
  <si>
    <t>Time Limit</t>
  </si>
  <si>
    <t>Participant ran out of time before completing the task.</t>
  </si>
  <si>
    <t>Participant abandoned the task of their own volition.</t>
  </si>
  <si>
    <t>Session interrupted by a technical problem unrelated to the participant.</t>
  </si>
  <si>
    <t>Does not fit any other category. Add details in Observations.</t>
  </si>
  <si>
    <t>USABILITY TEST PLAN · Analysis &amp; Recommendations</t>
  </si>
  <si>
    <t>Synthesize findings per task. Identify key issues, severity, and actionable recommendations.</t>
  </si>
  <si>
    <t>Analysis Dimension</t>
  </si>
  <si>
    <t>Key Usability Issues Observed</t>
  </si>
  <si>
    <t>List specific problems seen across participants.</t>
  </si>
  <si>
    <t>Frequency</t>
  </si>
  <si>
    <t>Severity</t>
  </si>
  <si>
    <t>Root Cause (Hypothesis)</t>
  </si>
  <si>
    <t>Supporting Quotes / Observations</t>
  </si>
  <si>
    <t>Recommendations</t>
  </si>
  <si>
    <t>Priority for Fix</t>
  </si>
  <si>
    <t>Effort Estimate</t>
  </si>
  <si>
    <t>Additional Notes</t>
  </si>
  <si>
    <t>SEVERITY RATING GUIDE</t>
  </si>
  <si>
    <t>Definition</t>
  </si>
  <si>
    <t>Frequency Threshold</t>
  </si>
  <si>
    <t>Recommended Action</t>
  </si>
  <si>
    <t>Critical</t>
  </si>
  <si>
    <t>Prevents task completion; user cannot proceed</t>
  </si>
  <si>
    <t>≥ 50% of participants</t>
  </si>
  <si>
    <t>Fix before launch</t>
  </si>
  <si>
    <t>Causes significant struggle; workaround is painful</t>
  </si>
  <si>
    <t>≥ 30% of participants</t>
  </si>
  <si>
    <t>Fix in next sprint</t>
  </si>
  <si>
    <t>Causes confusion or delay but task is completable</t>
  </si>
  <si>
    <t>≥ 20% of participants</t>
  </si>
  <si>
    <t>Schedule for roadmap</t>
  </si>
  <si>
    <t>Low</t>
  </si>
  <si>
    <t>Minor annoyance; cosmetic or edge-case issue</t>
  </si>
  <si>
    <t>&lt; 20% of participants</t>
  </si>
  <si>
    <t>Backlog / nice-to-have</t>
  </si>
  <si>
    <t xml:space="preserve">  HELP &amp; GUIDANCE  ·  Best Practices for Usability Testing</t>
  </si>
  <si>
    <t xml:space="preserve">  A reference guide for each phase of your usability test — practical tips and curated external reading.</t>
  </si>
  <si>
    <t xml:space="preserve">  All links open in your browser. Tip: use Ctrl+Click (Windows) or Cmd+Click (Mac) to follow hyperlinks in Excel.</t>
  </si>
  <si>
    <t xml:space="preserve">  Running an Effective Kickoff Meeting</t>
  </si>
  <si>
    <t xml:space="preserve">  Practical Guidelines</t>
  </si>
  <si>
    <t xml:space="preserve">  Further Reading</t>
  </si>
  <si>
    <t>NNG: Stakeholder Buy-In for UX Research</t>
  </si>
  <si>
    <t>2.  Send questions in advance
Share the kickoff question list 48 hours early. Stakeholders arrive better prepared, meetings run shorter, and you get more considered answers rather than reactive ones.</t>
  </si>
  <si>
    <t>NNG: Research Learning Spirals</t>
  </si>
  <si>
    <t>3.  Surface disagreements early
If the room can't agree on the top priority research question, document both views rather than forcing false consensus. Unresolved disagreements surface during analysis — better to name them now.</t>
  </si>
  <si>
    <t>UX Collective: Aligning Stakeholders</t>
  </si>
  <si>
    <t>4.  Ask 'what would change your mind?'
For each goal, ask stakeholders what evidence would cause them to change course. This reveals which questions are genuinely open and which are fishing for validation.</t>
  </si>
  <si>
    <t>Maze: Research Ops Handbook</t>
  </si>
  <si>
    <t>ResearchOps Community</t>
  </si>
  <si>
    <t>6.  Record or take structured notes
Assign a dedicated note-taker so the facilitator can stay focused. Review notes within 24 hours while memory is fresh and send a summary back to stakeholders to confirm alignment.</t>
  </si>
  <si>
    <t>NNG: Documenting UX Research</t>
  </si>
  <si>
    <t xml:space="preserve">  Defining Effective Study Goals</t>
  </si>
  <si>
    <t>NNG: Research Questions vs. Business Goals</t>
  </si>
  <si>
    <t>2.  Limit yourself to 3-5 goals per study
More than five goals usually means the study is trying to do too much. Prioritise ruthlessly. A focused study with clear answers is worth far more than a sprawling one with ambiguous takeaways.</t>
  </si>
  <si>
    <t>Usability.gov: Planning a Usability Test</t>
  </si>
  <si>
    <t>3.  Write goals as questions, not statements
'Evaluate the checkout flow' is a topic. 'Can users complete a purchase without assistance in under 4 minutes?' is a testable goal. The question form forces you to think about what evidence you need.</t>
  </si>
  <si>
    <t>IxDF: Formulating UX Research Goals</t>
  </si>
  <si>
    <t>4.  Pair every goal with a measurement method
For each goal, define up front how you will know if it has been met — task success rate, time on task, error count, qualitative theme, or a scale score. Unmeasured goals are just intentions.</t>
  </si>
  <si>
    <t>NNG: Measuring Usability</t>
  </si>
  <si>
    <t xml:space="preserve">  Common mistake: writing goals that are really just a list of features to evaluate ('test the navigation, the search, and the filters'). Push back by asking: what decision will that information inform?</t>
  </si>
  <si>
    <t xml:space="preserve">  Writing Strong Test Tasks</t>
  </si>
  <si>
    <t>1.  Use scenario framing, not instructions
Instead of 'Click on the profile menu and change your name', write 'You have just moved. Please update your account to reflect your new address.' Scenarios activate realistic mental models.</t>
  </si>
  <si>
    <t>NNG: Writing Usability Test Tasks</t>
  </si>
  <si>
    <t>NNG: Priming in Usability Testing</t>
  </si>
  <si>
    <t>Usability.gov: Task Development</t>
  </si>
  <si>
    <t>4.  Pilot every task before fieldwork
Run each task with one internal colleague who matches the participant profile. You will immediately find ambiguous wording, missing pre-conditions, and tasks that are too long.</t>
  </si>
  <si>
    <t>NNG: Pilot Testing</t>
  </si>
  <si>
    <t>5.  Set a realistic time limit per task
Time limits keep sessions on schedule and provide a natural stopping condition. A common rule of thumb: if a task takes longer than 5 minutes in a pilot, either simplify it or split it in two.</t>
  </si>
  <si>
    <t>Maze: Usability Test Structure</t>
  </si>
  <si>
    <t>6.  Sequence tasks to mirror real user journeys
Where possible, order tasks so they follow a logical progression (e.g., search then view then purchase). Artificial task sequences can confuse participants and create carry-over effects.</t>
  </si>
  <si>
    <t>IxDF: Test Task Sequencing</t>
  </si>
  <si>
    <t xml:space="preserve">  Recruitment &amp; Participant Selection</t>
  </si>
  <si>
    <t>NNG: Recruiting Usability Participants</t>
  </si>
  <si>
    <t>2.  5 participants reveal ~85% of usability issues
Nielsen's original finding still holds for qualitative discovery studies. For quantitative benchmarking or multiple distinct user groups, sample sizes of 20+ are more appropriate.</t>
  </si>
  <si>
    <t>NNG: How Many Test Users?</t>
  </si>
  <si>
    <t>3.  Recruit 20% more participants than you need
No-shows, late cancellations, and disqualifications are common. Buffer your recruitment target accordingly. For 10 sessions, recruit at least 12 and confirm the day before.</t>
  </si>
  <si>
    <t>UserZoom: Recruiting for Research</t>
  </si>
  <si>
    <t>4.  Spread sessions across different times of day
If recruiting working professionals, morning-only slots will bias your sample toward certain roles. Offer morning, midday, and afternoon options to maximise diversity.</t>
  </si>
  <si>
    <t>Dovetail: Recruitment Best Practices</t>
  </si>
  <si>
    <t>5.  Avoid friends, family, and colleagues
People who know the product team are less likely to give candid feedback and more likely to be forgiving of issues. Use external panels, CRM outreach, or intercept recruiting instead.</t>
  </si>
  <si>
    <t>NNG: Participant Selection</t>
  </si>
  <si>
    <t>6.  Document no-shows and replacements
Track who was recruited, who attended, and why anyone was excluded. This data protects you if stakeholders later question the representativeness of your sample.</t>
  </si>
  <si>
    <t>ResearchOps: Participant Management</t>
  </si>
  <si>
    <t xml:space="preserve">  Screener design tip: include one or two disqualifying questions that participants cannot easily game. For example, instead of asking 'Do you shop online?' (everyone says yes), ask how many online purchases they made in the last month.</t>
  </si>
  <si>
    <t xml:space="preserve">  Collecting &amp; Recording Session Data</t>
  </si>
  <si>
    <t xml:space="preserve">  Corresponds to: Data tab</t>
  </si>
  <si>
    <t>1.  Use the success codes consistently across all sessions
Brief all observers before the first session on exactly what constitutes Success vs. Partial Fail vs. Give Up. Inconsistent coding makes cross-participant comparisons unreliable.</t>
  </si>
  <si>
    <t>NNG: Scoring Usability Tests</t>
  </si>
  <si>
    <t>2.  Capture observations in real time, not from memory
Note verbatim quotes, specific UI elements that caused confusion, and exact moments of hesitation. Reconstructed notes written after the session lose the critical details.</t>
  </si>
  <si>
    <t>NNG: Note-taking During Testing</t>
  </si>
  <si>
    <t>3.  Record time-on-task from task read to final action
Start the clock when the participant finishes reading the task aloud (not when you finish reading it to them). Stop the clock at the moment of completion or abandonment.</t>
  </si>
  <si>
    <t>Usability.gov: Time on Task</t>
  </si>
  <si>
    <t>4.  Assign separate observers for note-taking and tech
The session facilitator should never also be managing the recording software. A second person handling logistics lets the facilitator stay fully present in the conversation.</t>
  </si>
  <si>
    <t>NNG: Observers in Usability Studies</t>
  </si>
  <si>
    <t>5.  Log technical issues immediately as they happen
Use the 'Technical Issues' code and note the exact symptom in Observations. A pattern of technical issues across participants may indicate a prototype bug or environmental problem, not a user error.</t>
  </si>
  <si>
    <t>Maze: Remote Testing Setup</t>
  </si>
  <si>
    <t>6.  Debrief observers after each session
A 5-minute debrief immediately after each session lets the team align on key observations while memory is fresh. This also prevents one vocal observer from dominating synthesis.</t>
  </si>
  <si>
    <t>NNG: Debrief Sessions</t>
  </si>
  <si>
    <t xml:space="preserve">  A note on 'Partial Fail': resist the temptation to be generous with this code. If the participant completed the task but required more than two redirects, significant backtracking, or help from the facilitator, that is a meaningful finding — not a partial success.</t>
  </si>
  <si>
    <t xml:space="preserve">  Analysing &amp; Synthesising Findings</t>
  </si>
  <si>
    <t xml:space="preserve">  Corresponds to: Analysis tab</t>
  </si>
  <si>
    <t>1.  Use affinity diagramming to cluster observations
After sessions end, write each observation on a separate sticky note (physical or digital) and cluster them by theme. Patterns that emerge from the data are more credible than patterns you went looking for.</t>
  </si>
  <si>
    <t>NNG: Affinity Diagramming</t>
  </si>
  <si>
    <t>2.  Calculate task success rate as your headline metric
Success rate = (number of successful completions) / (total attempts). Report it per task and overall. Even stakeholders unfamiliar with UX research immediately understand a percentage.</t>
  </si>
  <si>
    <t>NNG: Success Rate Metrics</t>
  </si>
  <si>
    <t>3.  Rate severity before prioritising recommendations
Use the four-point severity scale (Critical / High / Medium / Low) defined in this tab. Issues that block task completion are always Critical regardless of how infrequently they occur.</t>
  </si>
  <si>
    <t>NNG: Severity Ratings</t>
  </si>
  <si>
    <t>4.  Separate observation from inference
In your notes, clearly distinguish what you observed ('participant clicked the wrong button three times') from what you infer ('the icon is ambiguous'). Both are valuable but should not be conflated.</t>
  </si>
  <si>
    <t>IxDF: Usability Analysis Methods</t>
  </si>
  <si>
    <t>5.  Invite stakeholders into synthesis, not just readout
An analysis workshop where product and design team members help cluster findings produces stronger buy-in than a polished report delivered cold. People support findings they helped discover.</t>
  </si>
  <si>
    <t>NNG: Collaborative Analysis</t>
  </si>
  <si>
    <t>6.  Tie every recommendation to a specific observation
Every 'we recommend X' should reference 'because we observed Y in N/10 sessions'. Unanchored recommendations feel like opinions; anchored ones feel like evidence.</t>
  </si>
  <si>
    <t>Dovetail: Communicating Research</t>
  </si>
  <si>
    <t xml:space="preserve">  Avoid the 'laundry list' report — a 40-item issue log where everything is Medium severity. Stakeholders cannot act on everything at once. Force a ranking: what are the three issues that, if fixed, would most improve task success rates?</t>
  </si>
  <si>
    <t xml:space="preserve">  Reporting &amp; Presenting Findings</t>
  </si>
  <si>
    <t xml:space="preserve">  Corresponds to: Summary / Dashboard tab</t>
  </si>
  <si>
    <t>1.  Lead with the decision, not the methodology
Stakeholders care about what to do next. Open with your top three findings and recommendations. Save sample size, session format, and task design for the appendix.</t>
  </si>
  <si>
    <t>NNG: Communicating Research Findings</t>
  </si>
  <si>
    <t>2.  Show, don't just tell — use session clips
A 60-second video clip of a participant struggling with a flow is more persuasive than any bar chart. Obtain consent during recruitment and keep a library of clipped moments.</t>
  </si>
  <si>
    <t>NNG: Highlight Reels</t>
  </si>
  <si>
    <t>3.  Distinguish findings from recommendations
A finding is neutral: 'Seven of ten participants could not locate the settings menu.' A recommendation is actionable: 'Move settings into the main navigation bar.' Mixing them muddies both.</t>
  </si>
  <si>
    <t>UX Collective: Writing Research Reports</t>
  </si>
  <si>
    <t>4.  Include a one-page executive summary
Senior stakeholders may not read the full report. A single page with overall success rate, the top three issues, and the top three recommendations ensures the most important information gets through.</t>
  </si>
  <si>
    <t>NNG: Executive Summaries for Research</t>
  </si>
  <si>
    <t>5.  Track findings in a research repository
Log findings with tags for product area, participant type, and date. Over time, a repository reveals patterns across multiple studies and prevents the same issues from being 'discovered' repeatedly.</t>
  </si>
  <si>
    <t>Dovetail: Building a Research Repository</t>
  </si>
  <si>
    <t>6.  Close the loop with a follow-up check-in
Schedule a 30-minute check-in 4-6 weeks after the report is delivered to review which recommendations were implemented. This builds accountability and makes the case for continued investment in research.</t>
  </si>
  <si>
    <t xml:space="preserve">  A practical delivery format: share the written report 48 hours before the readout meeting so stakeholders can read it in advance. Use the meeting itself for discussion and prioritisation, not for walking through slides line by line.</t>
  </si>
  <si>
    <t xml:space="preserve">  General Usability Testing Resources</t>
  </si>
  <si>
    <t xml:space="preserve">  Curated references to deepen your practice</t>
  </si>
  <si>
    <t xml:space="preserve">  Resource</t>
  </si>
  <si>
    <t xml:space="preserve">  What It Covers</t>
  </si>
  <si>
    <t>The most comprehensive freely available resource on usability testing. Search any specific topic — screener writing, task design, analysis, reporting — and you will find a rigorous, evidence-based article.</t>
  </si>
  <si>
    <t>Nielsen Norman Group (nngroup.com)</t>
  </si>
  <si>
    <t>US government-produced guidance covering the full usability testing lifecycle. Practical, jargon-free, and well-structured for practitioners at any level.</t>
  </si>
  <si>
    <t>Usability.gov — How-To &amp; Tools</t>
  </si>
  <si>
    <t>Encyclopaedic coverage of usability testing concepts, with free and paid courses. Good for building foundational literacy across a team.</t>
  </si>
  <si>
    <t>Interaction Design Foundation — Usability Testing</t>
  </si>
  <si>
    <t>Practical, modern guides covering remote and unmoderated testing, analysis, and research operations. Especially useful if you are running tests at scale.</t>
  </si>
  <si>
    <t>Maze Research Hub</t>
  </si>
  <si>
    <t>A practical handbook covering research planning, recruitment, facilitation, synthesis, and reporting. Well-suited as a day-to-day reference.</t>
  </si>
  <si>
    <t>Dovetail UX Research Field Guide</t>
  </si>
  <si>
    <t>The definitive practical book on DIY usability testing. Essential reading for researchers who run their own studies. Short, actionable, and genuinely funny.</t>
  </si>
  <si>
    <t>Steve Krug — Rocket Surgery Made Easy</t>
  </si>
  <si>
    <t>Global community focused on the operational side of research — recruitment panels, consent frameworks, tooling, repositories, and making research scale inside organisations.</t>
  </si>
  <si>
    <t>The original 10-item post-study questionnaire. Free to use, widely benchmarked, and gives you a single comparable score. Scores above 68 are considered above average.</t>
  </si>
  <si>
    <t>System Usability Scale (SUS) — Brooke 1996</t>
  </si>
  <si>
    <t>A single 7-point question asked after each task ('How difficult or easy was this task?'). Quick to administer and correlates well with task performance data.</t>
  </si>
  <si>
    <t>Single Ease Question (SEQ) — NNG</t>
  </si>
  <si>
    <t>If accessibility is in scope, these are the international standards your product should be tested against. Consider including at least one participant who uses assistive technology.</t>
  </si>
  <si>
    <t>WCAG 2.2 Accessibility Guidelines</t>
  </si>
  <si>
    <t>What is the product or page, and who is it designed for?</t>
  </si>
  <si>
    <t>What problem does it solve for our web visitors? What problem does it solve for the IRCC?</t>
  </si>
  <si>
    <t>Where does this sit in the design lifecycle — pre-launch validation, a post-launch audit, or something else?</t>
  </si>
  <si>
    <t>Are there competing internal priorities or other work we should be aware of that might affect timelines?</t>
  </si>
  <si>
    <t>What are the two or three most important things you need to learn from this test?</t>
  </si>
  <si>
    <t xml:space="preserve">What decisions will be made with the output of this test? </t>
  </si>
  <si>
    <t>What does 'success' look like for this test — what would make you or your stakeholders feel it was worth doing?</t>
  </si>
  <si>
    <t>Are there prerequisite conditions for any tasks (e.g., the user must have already created an account, already applied for a visa)?</t>
  </si>
  <si>
    <t>Who are the key stakeholders for this project?</t>
  </si>
  <si>
    <t>Does anyone need to approve the screener, tasks, and final deliverable?</t>
  </si>
  <si>
    <t>Page or Product</t>
  </si>
  <si>
    <t>WUX Support</t>
  </si>
  <si>
    <t>Verbal think-aloud</t>
  </si>
  <si>
    <t>Record task completion time</t>
  </si>
  <si>
    <t>Explore if any task is particularly long</t>
  </si>
  <si>
    <t>Task time within UserLytics</t>
  </si>
  <si>
    <t>Starting URL / Pre-conditions</t>
  </si>
  <si>
    <t>1.  Start with the decision, not the feature
Before diving into tasks to test, anchor the whole conversation on what decision this testing will inform. If stakeholders can't name one, that is the first problem to solve.</t>
  </si>
  <si>
    <t>5.  Clarify sign-off chains before you leave
Confirm who approves the screener, tasks, and final report — and in what order. A missing approval can delay fieldwork by weeks.</t>
  </si>
  <si>
    <t>1.  Distinguish research goals from organizational goals
An organizational goal is 'reduce churn'. A research goal is 'understand why users abandon the onboarding flow after step 3'. Usability tests answer research questions, not organizational metrics directly.</t>
  </si>
  <si>
    <t>5.  Get stakeholder sign-off on goals before writing tasks
Goals drive task selection. If goals shift after tasks are written, you may have to rewrite the entire discussion guide. Locking goals early is the highest-leverage step in the planning phase.</t>
  </si>
  <si>
    <t>Dovetail: Customer Research Guide</t>
  </si>
  <si>
    <t>2.  Never embed the answer in the task
Avoid using the exact UI label in the task wording. If the button says 'Create an account, don't write 'Find a way to create a new account'. This tests recognition, not usability.</t>
  </si>
  <si>
    <t>3.  Make tasks realistic and specific
Vague tasks ('explore the site') produce vague data. Ground each task in a concrete goal a real user would have: a program to find, an amount to enter, a form to submit.</t>
  </si>
  <si>
    <t>1.  Define screener criteria from your testing goals
Work backwards from your goals: what must be true about a participant for their data to be valid? List must-haves (e.g., active smartphone user) and nice-to-haves separately to avoid over-constraining recruitment.</t>
  </si>
  <si>
    <t>USABILITY TEST PLAN · Test Goals</t>
  </si>
  <si>
    <t>Timeline &amp; Logistics</t>
  </si>
  <si>
    <t>Background &amp; Organizational Context</t>
  </si>
  <si>
    <t>P12</t>
  </si>
  <si>
    <t>P13</t>
  </si>
  <si>
    <t>P14</t>
  </si>
  <si>
    <t>P15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</si>
</sst>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charset val="1"/>
    </font>
    <font>
      <b/>
      <sz val="16"/>
      <color rgb="FFFFFFFF"/>
      <name val="Arial"/>
      <charset val="1"/>
    </font>
    <font>
      <i/>
      <sz val="10"/>
      <color rgb="FF555555"/>
      <name val="Arial"/>
      <charset val="1"/>
    </font>
    <font>
      <b/>
      <sz val="10"/>
      <color rgb="FFFFFFFF"/>
      <name val="Arial"/>
      <charset val="1"/>
    </font>
    <font>
      <b/>
      <sz val="11"/>
      <color rgb="FFFFFFFF"/>
      <name val="Arial"/>
      <charset val="1"/>
    </font>
    <font>
      <b/>
      <sz val="12"/>
      <color rgb="FF1A5276"/>
      <name val="Arial"/>
      <charset val="1"/>
    </font>
    <font>
      <sz val="10"/>
      <color rgb="FF1A1A1A"/>
      <name val="Arial"/>
      <charset val="1"/>
    </font>
    <font>
      <b/>
      <sz val="12"/>
      <color rgb="FF145A32"/>
      <name val="Arial"/>
      <charset val="1"/>
    </font>
    <font>
      <b/>
      <sz val="12"/>
      <color rgb="FF6E2FA0"/>
      <name val="Arial"/>
      <charset val="1"/>
    </font>
    <font>
      <b/>
      <sz val="12"/>
      <color rgb="FF7D6608"/>
      <name val="Arial"/>
      <charset val="1"/>
    </font>
    <font>
      <b/>
      <sz val="12"/>
      <color rgb="FF784212"/>
      <name val="Arial"/>
      <charset val="1"/>
    </font>
    <font>
      <i/>
      <sz val="9"/>
      <color rgb="FF555555"/>
      <name val="Arial"/>
      <charset val="1"/>
    </font>
    <font>
      <b/>
      <sz val="10"/>
      <color rgb="FF1B2A4A"/>
      <name val="Arial"/>
      <charset val="1"/>
    </font>
    <font>
      <sz val="10"/>
      <color rgb="FF555555"/>
      <name val="Arial"/>
      <charset val="1"/>
    </font>
    <font>
      <b/>
      <sz val="11"/>
      <color rgb="FF276221"/>
      <name val="Arial"/>
      <charset val="1"/>
    </font>
    <font>
      <b/>
      <sz val="12"/>
      <color rgb="FF276221"/>
      <name val="Arial"/>
      <charset val="1"/>
    </font>
    <font>
      <b/>
      <sz val="9"/>
      <color rgb="FF276221"/>
      <name val="Arial"/>
      <charset val="1"/>
    </font>
    <font>
      <sz val="9"/>
      <color rgb="FF555555"/>
      <name val="Arial"/>
      <charset val="1"/>
    </font>
    <font>
      <b/>
      <sz val="9"/>
      <color rgb="FF9C6500"/>
      <name val="Arial"/>
      <charset val="1"/>
    </font>
    <font>
      <b/>
      <sz val="9"/>
      <color rgb="FF9C0006"/>
      <name val="Arial"/>
      <charset val="1"/>
    </font>
    <font>
      <b/>
      <sz val="9"/>
      <color rgb="FF8B4513"/>
      <name val="Arial"/>
      <charset val="1"/>
    </font>
    <font>
      <b/>
      <sz val="9"/>
      <color rgb="FF6B2FA0"/>
      <name val="Arial"/>
      <charset val="1"/>
    </font>
    <font>
      <b/>
      <sz val="9"/>
      <color rgb="FF444444"/>
      <name val="Arial"/>
      <charset val="1"/>
    </font>
    <font>
      <b/>
      <sz val="9"/>
      <color rgb="FF1A7A6E"/>
      <name val="Arial"/>
      <charset val="1"/>
    </font>
    <font>
      <i/>
      <sz val="9"/>
      <color rgb="FFAAAAAA"/>
      <name val="Arial"/>
      <charset val="1"/>
    </font>
    <font>
      <b/>
      <sz val="10"/>
      <color rgb="FF9C0006"/>
      <name val="Arial"/>
      <charset val="1"/>
    </font>
    <font>
      <b/>
      <sz val="10"/>
      <color rgb="FF8B4513"/>
      <name val="Arial"/>
      <charset val="1"/>
    </font>
    <font>
      <b/>
      <sz val="10"/>
      <color rgb="FF9C6500"/>
      <name val="Arial"/>
      <charset val="1"/>
    </font>
    <font>
      <b/>
      <sz val="10"/>
      <color rgb="FF276221"/>
      <name val="Arial"/>
      <charset val="1"/>
    </font>
    <font>
      <b/>
      <sz val="13"/>
      <color rgb="FFFFFFFF"/>
      <name val="Arial"/>
      <charset val="1"/>
    </font>
    <font>
      <i/>
      <sz val="10"/>
      <color rgb="FFFFFFFF"/>
      <name val="Arial"/>
      <charset val="1"/>
    </font>
    <font>
      <u/>
      <sz val="10"/>
      <color rgb="FF1155CC"/>
      <name val="Arial"/>
      <charset val="1"/>
    </font>
    <font>
      <u/>
      <sz val="11"/>
      <color theme="10"/>
      <name val="Calibri"/>
      <family val="2"/>
      <charset val="1"/>
    </font>
  </fonts>
  <fills count="39">
    <fill>
      <patternFill patternType="none"/>
    </fill>
    <fill>
      <patternFill patternType="gray125"/>
    </fill>
    <fill>
      <patternFill patternType="solid">
        <fgColor rgb="FF1B2A4A"/>
        <bgColor rgb="FF1A3A5C"/>
      </patternFill>
    </fill>
    <fill>
      <patternFill patternType="solid">
        <fgColor rgb="FFEEF4FC"/>
        <bgColor rgb="FFE8ECF0"/>
      </patternFill>
    </fill>
    <fill>
      <patternFill patternType="solid">
        <fgColor rgb="FF2E5DA6"/>
        <bgColor rgb="FF1F618D"/>
      </patternFill>
    </fill>
    <fill>
      <patternFill patternType="solid">
        <fgColor rgb="FF1A5276"/>
        <bgColor rgb="FF1F618D"/>
      </patternFill>
    </fill>
    <fill>
      <patternFill patternType="solid">
        <fgColor rgb="FFD6EAF8"/>
        <bgColor rgb="FFD6E4F7"/>
      </patternFill>
    </fill>
    <fill>
      <patternFill patternType="solid">
        <fgColor rgb="FFFFFFFF"/>
        <bgColor rgb="FFFEF9E7"/>
      </patternFill>
    </fill>
    <fill>
      <patternFill patternType="solid">
        <fgColor rgb="FF145A32"/>
        <bgColor rgb="FF276221"/>
      </patternFill>
    </fill>
    <fill>
      <patternFill patternType="solid">
        <fgColor rgb="FFD5F5E3"/>
        <bgColor rgb="FFD5F5F1"/>
      </patternFill>
    </fill>
    <fill>
      <patternFill patternType="solid">
        <fgColor rgb="FF6E2FA0"/>
        <bgColor rgb="FF6B2FA0"/>
      </patternFill>
    </fill>
    <fill>
      <patternFill patternType="solid">
        <fgColor rgb="FFF0E6FA"/>
        <bgColor rgb="FFE8ECF0"/>
      </patternFill>
    </fill>
    <fill>
      <patternFill patternType="solid">
        <fgColor rgb="FF7D6608"/>
        <bgColor rgb="FF9C6500"/>
      </patternFill>
    </fill>
    <fill>
      <patternFill patternType="solid">
        <fgColor rgb="FFFEF9E7"/>
        <bgColor rgb="FFFFFFFF"/>
      </patternFill>
    </fill>
    <fill>
      <patternFill patternType="solid">
        <fgColor rgb="FF784212"/>
        <bgColor rgb="FF8B4513"/>
      </patternFill>
    </fill>
    <fill>
      <patternFill patternType="solid">
        <fgColor rgb="FFFDEBD0"/>
        <bgColor rgb="FFFDEDEC"/>
      </patternFill>
    </fill>
    <fill>
      <patternFill patternType="solid">
        <fgColor rgb="FF7B241C"/>
        <bgColor rgb="FF784212"/>
      </patternFill>
    </fill>
    <fill>
      <patternFill patternType="solid">
        <fgColor rgb="FFFDEDEC"/>
        <bgColor rgb="FFFEF9E7"/>
      </patternFill>
    </fill>
    <fill>
      <patternFill patternType="solid">
        <fgColor rgb="FF1F618D"/>
        <bgColor rgb="FF2E5DA6"/>
      </patternFill>
    </fill>
    <fill>
      <patternFill patternType="solid">
        <fgColor rgb="FF2874A6"/>
        <bgColor rgb="FF2E86C1"/>
      </patternFill>
    </fill>
    <fill>
      <patternFill patternType="solid">
        <fgColor rgb="FF2E86C1"/>
        <bgColor rgb="FF3498DB"/>
      </patternFill>
    </fill>
    <fill>
      <patternFill patternType="solid">
        <fgColor rgb="FF3498DB"/>
        <bgColor rgb="FF2E86C1"/>
      </patternFill>
    </fill>
    <fill>
      <patternFill patternType="solid">
        <fgColor rgb="FFD6E4F7"/>
        <bgColor rgb="FFD6EAF8"/>
      </patternFill>
    </fill>
    <fill>
      <patternFill patternType="solid">
        <fgColor rgb="FFC6EFCE"/>
        <bgColor rgb="FFD5F5E3"/>
      </patternFill>
    </fill>
    <fill>
      <patternFill patternType="solid">
        <fgColor rgb="FFFFEB9C"/>
        <bgColor rgb="FFFFDAB9"/>
      </patternFill>
    </fill>
    <fill>
      <patternFill patternType="solid">
        <fgColor rgb="FFFFC7CE"/>
        <bgColor rgb="FFFFDAB9"/>
      </patternFill>
    </fill>
    <fill>
      <patternFill patternType="solid">
        <fgColor rgb="FFFFDAB9"/>
        <bgColor rgb="FFFDEBD0"/>
      </patternFill>
    </fill>
    <fill>
      <patternFill patternType="solid">
        <fgColor rgb="FFE8D5F5"/>
        <bgColor rgb="FFE2E2E2"/>
      </patternFill>
    </fill>
    <fill>
      <patternFill patternType="solid">
        <fgColor rgb="FFE2E2E2"/>
        <bgColor rgb="FFE8ECF0"/>
      </patternFill>
    </fill>
    <fill>
      <patternFill patternType="solid">
        <fgColor rgb="FFD5F5F1"/>
        <bgColor rgb="FFD5F5E3"/>
      </patternFill>
    </fill>
    <fill>
      <patternFill patternType="solid">
        <fgColor rgb="FF1A3A5C"/>
        <bgColor rgb="FF2E4057"/>
      </patternFill>
    </fill>
    <fill>
      <patternFill patternType="solid">
        <fgColor rgb="FFAED6F1"/>
        <bgColor rgb="FFA9DFBF"/>
      </patternFill>
    </fill>
    <fill>
      <patternFill patternType="solid">
        <fgColor rgb="FFA9DFBF"/>
        <bgColor rgb="FFAED6F1"/>
      </patternFill>
    </fill>
    <fill>
      <patternFill patternType="solid">
        <fgColor rgb="FFD7BDE2"/>
        <bgColor rgb="FFCCCCCC"/>
      </patternFill>
    </fill>
    <fill>
      <patternFill patternType="solid">
        <fgColor rgb="FFF0B27A"/>
        <bgColor rgb="FFF1948A"/>
      </patternFill>
    </fill>
    <fill>
      <patternFill patternType="solid">
        <fgColor rgb="FFF1948A"/>
        <bgColor rgb="FFF0B27A"/>
      </patternFill>
    </fill>
    <fill>
      <patternFill patternType="solid">
        <fgColor rgb="FF2E4057"/>
        <bgColor rgb="FF1A3A5C"/>
      </patternFill>
    </fill>
    <fill>
      <patternFill patternType="solid">
        <fgColor rgb="FFB2BEC3"/>
        <bgColor rgb="FFAAAAAA"/>
      </patternFill>
    </fill>
    <fill>
      <patternFill patternType="solid">
        <fgColor rgb="FFE8ECF0"/>
        <bgColor rgb="FFF0E6FA"/>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1A5276"/>
      </left>
      <right/>
      <top style="thin">
        <color rgb="FFCCCCCC"/>
      </top>
      <bottom style="thin">
        <color rgb="FFCCCCCC"/>
      </bottom>
      <diagonal/>
    </border>
    <border>
      <left style="thin">
        <color rgb="FF145A32"/>
      </left>
      <right/>
      <top style="thin">
        <color rgb="FFCCCCCC"/>
      </top>
      <bottom style="thin">
        <color rgb="FFCCCCCC"/>
      </bottom>
      <diagonal/>
    </border>
    <border>
      <left style="thin">
        <color rgb="FF6E2FA0"/>
      </left>
      <right/>
      <top style="thin">
        <color rgb="FFCCCCCC"/>
      </top>
      <bottom style="thin">
        <color rgb="FFCCCCCC"/>
      </bottom>
      <diagonal/>
    </border>
    <border>
      <left style="thin">
        <color rgb="FF7D6608"/>
      </left>
      <right/>
      <top style="thin">
        <color rgb="FFCCCCCC"/>
      </top>
      <bottom style="thin">
        <color rgb="FFCCCCCC"/>
      </bottom>
      <diagonal/>
    </border>
    <border>
      <left style="thin">
        <color rgb="FF784212"/>
      </left>
      <right/>
      <top style="thin">
        <color rgb="FFCCCCCC"/>
      </top>
      <bottom style="thin">
        <color rgb="FFCCCCCC"/>
      </bottom>
      <diagonal/>
    </border>
    <border>
      <left/>
      <right/>
      <top style="thin">
        <color rgb="FFCCCCCC"/>
      </top>
      <bottom style="thin">
        <color rgb="FFCCCCCC"/>
      </bottom>
      <diagonal/>
    </border>
  </borders>
  <cellStyleXfs count="2">
    <xf numFmtId="0" fontId="0" fillId="0" borderId="0"/>
    <xf numFmtId="0" fontId="32" fillId="0" borderId="0" applyNumberFormat="0" applyFill="0" applyBorder="0" applyAlignment="0" applyProtection="0"/>
  </cellStyleXfs>
  <cellXfs count="105">
    <xf numFmtId="0" fontId="0" fillId="0" borderId="0" xfId="0"/>
    <xf numFmtId="0" fontId="13" fillId="3" borderId="2" xfId="0" applyFont="1" applyFill="1" applyBorder="1" applyAlignment="1">
      <alignment horizontal="left" vertical="top" wrapText="1"/>
    </xf>
    <xf numFmtId="0" fontId="3" fillId="4" borderId="2" xfId="0" applyFont="1" applyFill="1" applyBorder="1" applyAlignment="1">
      <alignment horizontal="left" vertical="center" wrapText="1"/>
    </xf>
    <xf numFmtId="0" fontId="1" fillId="2" borderId="0" xfId="0" applyFont="1" applyFill="1" applyAlignment="1">
      <alignment horizontal="left" vertical="center" wrapText="1"/>
    </xf>
    <xf numFmtId="0" fontId="4" fillId="14" borderId="2" xfId="0" applyFont="1" applyFill="1" applyBorder="1" applyAlignment="1">
      <alignment horizontal="left" vertical="center"/>
    </xf>
    <xf numFmtId="0" fontId="4" fillId="12" borderId="2" xfId="0" applyFont="1" applyFill="1" applyBorder="1" applyAlignment="1">
      <alignment horizontal="left" vertical="center"/>
    </xf>
    <xf numFmtId="0" fontId="4" fillId="10" borderId="2" xfId="0" applyFont="1" applyFill="1" applyBorder="1" applyAlignment="1">
      <alignment horizontal="left" vertical="center"/>
    </xf>
    <xf numFmtId="0" fontId="4" fillId="8" borderId="2" xfId="0" applyFont="1" applyFill="1" applyBorder="1" applyAlignment="1">
      <alignment horizontal="left" vertical="center"/>
    </xf>
    <xf numFmtId="0" fontId="4" fillId="5" borderId="2" xfId="0" applyFont="1" applyFill="1" applyBorder="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horizontal="left" vertical="center"/>
    </xf>
    <xf numFmtId="0" fontId="3" fillId="4" borderId="1" xfId="0" applyFont="1" applyFill="1" applyBorder="1" applyAlignment="1">
      <alignment horizontal="left" vertical="center" indent="1"/>
    </xf>
    <xf numFmtId="0" fontId="5" fillId="6" borderId="3" xfId="0" applyFont="1" applyFill="1" applyBorder="1" applyAlignment="1">
      <alignment horizontal="center" vertical="top"/>
    </xf>
    <xf numFmtId="0" fontId="6" fillId="6" borderId="1" xfId="0" applyFont="1" applyFill="1" applyBorder="1" applyAlignment="1">
      <alignment horizontal="left" vertical="top" wrapText="1" indent="1"/>
    </xf>
    <xf numFmtId="0" fontId="0" fillId="7" borderId="1" xfId="0" applyFill="1" applyBorder="1" applyAlignment="1">
      <alignment horizontal="left" vertical="top" wrapText="1" indent="1"/>
    </xf>
    <xf numFmtId="0" fontId="5" fillId="7" borderId="3" xfId="0" applyFont="1" applyFill="1" applyBorder="1" applyAlignment="1">
      <alignment horizontal="center" vertical="top"/>
    </xf>
    <xf numFmtId="0" fontId="6" fillId="7" borderId="1" xfId="0" applyFont="1" applyFill="1" applyBorder="1" applyAlignment="1">
      <alignment horizontal="left" vertical="top" wrapText="1" indent="1"/>
    </xf>
    <xf numFmtId="0" fontId="0" fillId="7" borderId="0" xfId="0" applyFill="1"/>
    <xf numFmtId="0" fontId="7" fillId="9" borderId="4" xfId="0" applyFont="1" applyFill="1" applyBorder="1" applyAlignment="1">
      <alignment horizontal="center" vertical="top"/>
    </xf>
    <xf numFmtId="0" fontId="6" fillId="9" borderId="1" xfId="0" applyFont="1" applyFill="1" applyBorder="1" applyAlignment="1">
      <alignment horizontal="left" vertical="top" wrapText="1" indent="1"/>
    </xf>
    <xf numFmtId="0" fontId="7" fillId="7" borderId="4" xfId="0" applyFont="1" applyFill="1" applyBorder="1" applyAlignment="1">
      <alignment horizontal="center" vertical="top"/>
    </xf>
    <xf numFmtId="0" fontId="8" fillId="11" borderId="5" xfId="0" applyFont="1" applyFill="1" applyBorder="1" applyAlignment="1">
      <alignment horizontal="center" vertical="top"/>
    </xf>
    <xf numFmtId="0" fontId="6" fillId="11" borderId="1" xfId="0" applyFont="1" applyFill="1" applyBorder="1" applyAlignment="1">
      <alignment horizontal="left" vertical="top" wrapText="1" indent="1"/>
    </xf>
    <xf numFmtId="0" fontId="8" fillId="7" borderId="5" xfId="0" applyFont="1" applyFill="1" applyBorder="1" applyAlignment="1">
      <alignment horizontal="center" vertical="top"/>
    </xf>
    <xf numFmtId="0" fontId="9" fillId="13" borderId="6" xfId="0" applyFont="1" applyFill="1" applyBorder="1" applyAlignment="1">
      <alignment horizontal="center" vertical="top"/>
    </xf>
    <xf numFmtId="0" fontId="6" fillId="13" borderId="1" xfId="0" applyFont="1" applyFill="1" applyBorder="1" applyAlignment="1">
      <alignment horizontal="left" vertical="top" wrapText="1" indent="1"/>
    </xf>
    <xf numFmtId="0" fontId="9" fillId="7" borderId="6" xfId="0" applyFont="1" applyFill="1" applyBorder="1" applyAlignment="1">
      <alignment horizontal="center" vertical="top"/>
    </xf>
    <xf numFmtId="0" fontId="10" fillId="15" borderId="7" xfId="0" applyFont="1" applyFill="1" applyBorder="1" applyAlignment="1">
      <alignment horizontal="center" vertical="top"/>
    </xf>
    <xf numFmtId="0" fontId="6" fillId="15" borderId="1" xfId="0" applyFont="1" applyFill="1" applyBorder="1" applyAlignment="1">
      <alignment horizontal="left" vertical="top" wrapText="1" indent="1"/>
    </xf>
    <xf numFmtId="0" fontId="10" fillId="7" borderId="7" xfId="0" applyFont="1" applyFill="1" applyBorder="1" applyAlignment="1">
      <alignment horizontal="center" vertical="top"/>
    </xf>
    <xf numFmtId="0" fontId="6" fillId="17" borderId="1" xfId="0" applyFont="1" applyFill="1" applyBorder="1" applyAlignment="1">
      <alignment horizontal="left" vertical="top" wrapText="1" inden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2" fillId="22" borderId="1" xfId="0" applyFont="1" applyFill="1" applyBorder="1" applyAlignment="1">
      <alignment horizontal="left" vertical="center" wrapText="1"/>
    </xf>
    <xf numFmtId="0" fontId="13" fillId="7" borderId="1" xfId="0" applyFont="1" applyFill="1" applyBorder="1" applyAlignment="1">
      <alignment horizontal="center" vertical="center"/>
    </xf>
    <xf numFmtId="0" fontId="13" fillId="3" borderId="1" xfId="0" applyFont="1" applyFill="1" applyBorder="1" applyAlignment="1">
      <alignment horizontal="center" vertical="center"/>
    </xf>
    <xf numFmtId="9" fontId="14" fillId="23" borderId="1" xfId="0" applyNumberFormat="1" applyFont="1" applyFill="1" applyBorder="1" applyAlignment="1">
      <alignment horizontal="center" vertical="center"/>
    </xf>
    <xf numFmtId="0" fontId="13" fillId="3" borderId="2" xfId="0" applyFont="1" applyFill="1" applyBorder="1" applyAlignment="1">
      <alignment horizontal="left" vertical="top" wrapText="1"/>
    </xf>
    <xf numFmtId="0" fontId="13" fillId="3" borderId="1" xfId="0" applyFont="1" applyFill="1" applyBorder="1" applyAlignment="1">
      <alignment horizontal="center" vertical="top" wrapText="1"/>
    </xf>
    <xf numFmtId="0" fontId="13" fillId="3" borderId="1" xfId="0" applyFont="1" applyFill="1" applyBorder="1" applyAlignment="1">
      <alignment horizontal="left" vertical="top" wrapText="1"/>
    </xf>
    <xf numFmtId="0" fontId="13" fillId="7" borderId="1" xfId="0" applyFont="1" applyFill="1" applyBorder="1" applyAlignment="1">
      <alignment horizontal="center" vertical="top" wrapText="1"/>
    </xf>
    <xf numFmtId="0" fontId="13" fillId="7" borderId="1" xfId="0" applyFont="1" applyFill="1" applyBorder="1" applyAlignment="1">
      <alignment horizontal="left" vertical="top" wrapText="1"/>
    </xf>
    <xf numFmtId="0" fontId="0" fillId="2" borderId="0" xfId="0" applyFill="1"/>
    <xf numFmtId="0" fontId="3" fillId="2" borderId="1" xfId="0" applyFont="1" applyFill="1" applyBorder="1" applyAlignment="1">
      <alignment horizontal="center" vertical="center" wrapText="1"/>
    </xf>
    <xf numFmtId="0" fontId="16" fillId="23" borderId="1" xfId="0" applyFont="1" applyFill="1" applyBorder="1" applyAlignment="1">
      <alignment horizontal="center" vertical="center"/>
    </xf>
    <xf numFmtId="0" fontId="18" fillId="24" borderId="1" xfId="0" applyFont="1" applyFill="1" applyBorder="1" applyAlignment="1">
      <alignment horizontal="center" vertical="center"/>
    </xf>
    <xf numFmtId="0" fontId="19" fillId="25" borderId="1" xfId="0" applyFont="1" applyFill="1" applyBorder="1" applyAlignment="1">
      <alignment horizontal="center" vertical="center"/>
    </xf>
    <xf numFmtId="0" fontId="20" fillId="26" borderId="1" xfId="0" applyFont="1" applyFill="1" applyBorder="1" applyAlignment="1">
      <alignment horizontal="center" vertical="center"/>
    </xf>
    <xf numFmtId="0" fontId="21" fillId="27" borderId="1" xfId="0" applyFont="1" applyFill="1" applyBorder="1" applyAlignment="1">
      <alignment horizontal="center" vertical="center"/>
    </xf>
    <xf numFmtId="0" fontId="22" fillId="28" borderId="1" xfId="0" applyFont="1" applyFill="1" applyBorder="1" applyAlignment="1">
      <alignment horizontal="center" vertical="center"/>
    </xf>
    <xf numFmtId="0" fontId="23" fillId="29" borderId="1" xfId="0" applyFont="1" applyFill="1" applyBorder="1" applyAlignment="1">
      <alignment horizontal="center" vertical="center"/>
    </xf>
    <xf numFmtId="0" fontId="24" fillId="3" borderId="1" xfId="0" applyFont="1" applyFill="1" applyBorder="1" applyAlignment="1">
      <alignment horizontal="left" vertical="top" wrapText="1"/>
    </xf>
    <xf numFmtId="0" fontId="24" fillId="7" borderId="1" xfId="0" applyFont="1" applyFill="1" applyBorder="1" applyAlignment="1">
      <alignment horizontal="left" vertical="top" wrapText="1"/>
    </xf>
    <xf numFmtId="0" fontId="25" fillId="25" borderId="1" xfId="0" applyFont="1" applyFill="1" applyBorder="1" applyAlignment="1">
      <alignment horizontal="center" vertical="center"/>
    </xf>
    <xf numFmtId="0" fontId="26" fillId="26" borderId="1" xfId="0" applyFont="1" applyFill="1" applyBorder="1" applyAlignment="1">
      <alignment horizontal="center" vertical="center"/>
    </xf>
    <xf numFmtId="0" fontId="27" fillId="24" borderId="1" xfId="0" applyFont="1" applyFill="1" applyBorder="1" applyAlignment="1">
      <alignment horizontal="center" vertical="center"/>
    </xf>
    <xf numFmtId="0" fontId="28" fillId="23" borderId="1" xfId="0" applyFont="1" applyFill="1" applyBorder="1" applyAlignment="1">
      <alignment horizontal="center" vertical="center"/>
    </xf>
    <xf numFmtId="0" fontId="3" fillId="30" borderId="1" xfId="0" applyFont="1" applyFill="1" applyBorder="1" applyAlignment="1">
      <alignment horizontal="left" vertical="center"/>
    </xf>
    <xf numFmtId="0" fontId="0" fillId="31" borderId="0" xfId="0" applyFill="1"/>
    <xf numFmtId="0" fontId="31" fillId="7" borderId="1" xfId="0" applyFont="1" applyFill="1" applyBorder="1" applyAlignment="1">
      <alignment horizontal="left" vertical="top" wrapText="1" indent="1"/>
    </xf>
    <xf numFmtId="0" fontId="3" fillId="5" borderId="1" xfId="0" applyFont="1" applyFill="1" applyBorder="1" applyAlignment="1">
      <alignment horizontal="left" vertical="center"/>
    </xf>
    <xf numFmtId="0" fontId="0" fillId="5" borderId="0" xfId="0" applyFill="1"/>
    <xf numFmtId="0" fontId="3" fillId="8" borderId="1" xfId="0" applyFont="1" applyFill="1" applyBorder="1" applyAlignment="1">
      <alignment horizontal="left" vertical="center"/>
    </xf>
    <xf numFmtId="0" fontId="0" fillId="32" borderId="0" xfId="0" applyFill="1"/>
    <xf numFmtId="0" fontId="3" fillId="10" borderId="1" xfId="0" applyFont="1" applyFill="1" applyBorder="1" applyAlignment="1">
      <alignment horizontal="left" vertical="center"/>
    </xf>
    <xf numFmtId="0" fontId="0" fillId="33" borderId="0" xfId="0" applyFill="1"/>
    <xf numFmtId="0" fontId="0" fillId="10" borderId="0" xfId="0" applyFill="1"/>
    <xf numFmtId="0" fontId="3" fillId="14" borderId="1" xfId="0" applyFont="1" applyFill="1" applyBorder="1" applyAlignment="1">
      <alignment horizontal="left" vertical="center"/>
    </xf>
    <xf numFmtId="0" fontId="0" fillId="34" borderId="0" xfId="0" applyFill="1"/>
    <xf numFmtId="0" fontId="0" fillId="14" borderId="0" xfId="0" applyFill="1"/>
    <xf numFmtId="0" fontId="3" fillId="16" borderId="1" xfId="0" applyFont="1" applyFill="1" applyBorder="1" applyAlignment="1">
      <alignment horizontal="left" vertical="center"/>
    </xf>
    <xf numFmtId="0" fontId="0" fillId="35" borderId="0" xfId="0" applyFill="1"/>
    <xf numFmtId="0" fontId="0" fillId="16" borderId="0" xfId="0" applyFill="1"/>
    <xf numFmtId="0" fontId="3" fillId="36" borderId="1" xfId="0" applyFont="1" applyFill="1" applyBorder="1" applyAlignment="1">
      <alignment horizontal="left" vertical="center"/>
    </xf>
    <xf numFmtId="0" fontId="0" fillId="37" borderId="0" xfId="0" applyFill="1"/>
    <xf numFmtId="0" fontId="6" fillId="38" borderId="1" xfId="0" applyFont="1" applyFill="1" applyBorder="1" applyAlignment="1">
      <alignment horizontal="left" vertical="top" wrapText="1" indent="1"/>
    </xf>
    <xf numFmtId="0" fontId="13" fillId="7" borderId="2" xfId="0" applyFont="1" applyFill="1" applyBorder="1" applyAlignment="1">
      <alignment horizontal="left" vertical="top" wrapText="1"/>
    </xf>
    <xf numFmtId="9" fontId="15" fillId="3" borderId="2" xfId="0" applyNumberFormat="1" applyFont="1" applyFill="1" applyBorder="1" applyAlignment="1">
      <alignment horizontal="left" vertical="top" wrapText="1"/>
    </xf>
    <xf numFmtId="0" fontId="3" fillId="4" borderId="1" xfId="0" applyFont="1" applyFill="1" applyBorder="1" applyAlignment="1">
      <alignment horizontal="center" vertical="center" wrapText="1"/>
    </xf>
    <xf numFmtId="0" fontId="3" fillId="5" borderId="0" xfId="0" applyFont="1" applyFill="1" applyAlignment="1">
      <alignment horizontal="center" vertical="center"/>
    </xf>
    <xf numFmtId="0" fontId="3" fillId="18" borderId="0" xfId="0" applyFont="1" applyFill="1" applyAlignment="1">
      <alignment horizontal="center" vertical="center"/>
    </xf>
    <xf numFmtId="0" fontId="3" fillId="19" borderId="0" xfId="0" applyFont="1" applyFill="1" applyAlignment="1">
      <alignment horizontal="center" vertical="center"/>
    </xf>
    <xf numFmtId="0" fontId="3" fillId="20" borderId="0" xfId="0" applyFont="1" applyFill="1" applyAlignment="1">
      <alignment horizontal="center" vertical="center"/>
    </xf>
    <xf numFmtId="0" fontId="3" fillId="21" borderId="0" xfId="0" applyFont="1" applyFill="1" applyAlignment="1">
      <alignment horizontal="center" vertical="center"/>
    </xf>
    <xf numFmtId="0" fontId="17" fillId="3" borderId="2"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29" fillId="30" borderId="0" xfId="0" applyFont="1" applyFill="1" applyAlignment="1">
      <alignment horizontal="left" vertical="center"/>
    </xf>
    <xf numFmtId="0" fontId="11" fillId="3" borderId="2" xfId="0" applyFont="1" applyFill="1" applyBorder="1" applyAlignment="1">
      <alignment horizontal="left" vertical="center" wrapText="1"/>
    </xf>
    <xf numFmtId="0" fontId="29" fillId="5" borderId="0" xfId="0" applyFont="1" applyFill="1" applyAlignment="1">
      <alignment horizontal="left" vertical="center"/>
    </xf>
    <xf numFmtId="0" fontId="30" fillId="5" borderId="0" xfId="0" applyFont="1" applyFill="1" applyAlignment="1">
      <alignment horizontal="left" vertical="center"/>
    </xf>
    <xf numFmtId="0" fontId="29" fillId="8" borderId="0" xfId="0" applyFont="1" applyFill="1" applyAlignment="1">
      <alignment horizontal="left" vertical="center"/>
    </xf>
    <xf numFmtId="0" fontId="29" fillId="10" borderId="0" xfId="0" applyFont="1" applyFill="1" applyAlignment="1">
      <alignment horizontal="left" vertical="center"/>
    </xf>
    <xf numFmtId="0" fontId="29" fillId="14" borderId="0" xfId="0" applyFont="1" applyFill="1" applyAlignment="1">
      <alignment horizontal="left" vertical="center"/>
    </xf>
    <xf numFmtId="0" fontId="30" fillId="14" borderId="0" xfId="0" applyFont="1" applyFill="1" applyAlignment="1">
      <alignment horizontal="left" vertical="center"/>
    </xf>
    <xf numFmtId="0" fontId="29" fillId="16" borderId="0" xfId="0" applyFont="1" applyFill="1" applyAlignment="1">
      <alignment horizontal="left" vertical="center"/>
    </xf>
    <xf numFmtId="0" fontId="30" fillId="16" borderId="0" xfId="0" applyFont="1" applyFill="1" applyAlignment="1">
      <alignment horizontal="left" vertical="center"/>
    </xf>
    <xf numFmtId="0" fontId="29" fillId="36" borderId="0" xfId="0" applyFont="1" applyFill="1" applyAlignment="1">
      <alignment horizontal="left" vertical="center"/>
    </xf>
    <xf numFmtId="0" fontId="30" fillId="36" borderId="0" xfId="0" applyFont="1" applyFill="1" applyAlignment="1">
      <alignment horizontal="left" vertical="center"/>
    </xf>
    <xf numFmtId="0" fontId="13" fillId="3" borderId="8" xfId="0" applyFont="1" applyFill="1" applyBorder="1" applyAlignment="1">
      <alignment horizontal="left" vertical="top" wrapText="1"/>
    </xf>
    <xf numFmtId="0" fontId="32" fillId="7" borderId="1" xfId="1" applyFill="1" applyBorder="1" applyAlignment="1">
      <alignment horizontal="left" vertical="top" wrapText="1" indent="1"/>
    </xf>
  </cellXfs>
  <cellStyles count="2">
    <cellStyle name="Hyperlink" xfId="1" builtinId="8"/>
    <cellStyle name="Normal" xfId="0" builtinId="0"/>
  </cellStyles>
  <dxfs count="35">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FDEDEC"/>
      <rgbColor rgb="FF0000FF"/>
      <rgbColor rgb="FFFDEBD0"/>
      <rgbColor rgb="FFFF00FF"/>
      <rgbColor rgb="FFE8ECF0"/>
      <rgbColor rgb="FF9C0006"/>
      <rgbColor rgb="FF276221"/>
      <rgbColor rgb="FF145A32"/>
      <rgbColor rgb="FF7D6608"/>
      <rgbColor rgb="FF784212"/>
      <rgbColor rgb="FF1A7A6E"/>
      <rgbColor rgb="FFB2BEC3"/>
      <rgbColor rgb="FF9C6500"/>
      <rgbColor rgb="FFA9DFBF"/>
      <rgbColor rgb="FF6E2FA0"/>
      <rgbColor rgb="FFFEF9E7"/>
      <rgbColor rgb="FFD5F5F1"/>
      <rgbColor rgb="FF444444"/>
      <rgbColor rgb="FFF1948A"/>
      <rgbColor rgb="FF1155CC"/>
      <rgbColor rgb="FFD7BDE2"/>
      <rgbColor rgb="FF1F618D"/>
      <rgbColor rgb="FFFF00FF"/>
      <rgbColor rgb="FFC6EFCE"/>
      <rgbColor rgb="FFEEF4FC"/>
      <rgbColor rgb="FF800080"/>
      <rgbColor rgb="FF7B241C"/>
      <rgbColor rgb="FF2874A6"/>
      <rgbColor rgb="FF0000FF"/>
      <rgbColor rgb="FFD6E4F7"/>
      <rgbColor rgb="FFD6EAF8"/>
      <rgbColor rgb="FFD5F5E3"/>
      <rgbColor rgb="FFFFEB9C"/>
      <rgbColor rgb="FFAED6F1"/>
      <rgbColor rgb="FFF0B27A"/>
      <rgbColor rgb="FFCCCCCC"/>
      <rgbColor rgb="FFFFDAB9"/>
      <rgbColor rgb="FF2E5DA6"/>
      <rgbColor rgb="FF3498DB"/>
      <rgbColor rgb="FFE2E2E2"/>
      <rgbColor rgb="FFFFC7CE"/>
      <rgbColor rgb="FFE8D5F5"/>
      <rgbColor rgb="FFF0E6FA"/>
      <rgbColor rgb="FF555555"/>
      <rgbColor rgb="FFAAAAAA"/>
      <rgbColor rgb="FF1A3A5C"/>
      <rgbColor rgb="FF2E86C1"/>
      <rgbColor rgb="FF1B2A4A"/>
      <rgbColor rgb="FF1A1A1A"/>
      <rgbColor rgb="FF8B4513"/>
      <rgbColor rgb="FF6B2FA0"/>
      <rgbColor rgb="FF1A5276"/>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3" Type="http://schemas.openxmlformats.org/officeDocument/2006/relationships/hyperlink" Target="https://www.usability.gov/how-to-and-tools/methods/task-development.html" TargetMode="External"/><Relationship Id="rId18" Type="http://schemas.openxmlformats.org/officeDocument/2006/relationships/hyperlink" Target="https://www.nngroup.com/articles/how-many-test-users/" TargetMode="External"/><Relationship Id="rId26" Type="http://schemas.openxmlformats.org/officeDocument/2006/relationships/hyperlink" Target="https://www.nngroup.com/articles/observer-role-in-usability-testing/" TargetMode="External"/><Relationship Id="rId39" Type="http://schemas.openxmlformats.org/officeDocument/2006/relationships/hyperlink" Target="https://dovetail.com/research/building-a-research-repository/" TargetMode="External"/><Relationship Id="rId21" Type="http://schemas.openxmlformats.org/officeDocument/2006/relationships/hyperlink" Target="https://www.nngroup.com/articles/recruiting-usability-study-participants/" TargetMode="External"/><Relationship Id="rId34" Type="http://schemas.openxmlformats.org/officeDocument/2006/relationships/hyperlink" Target="https://dovetail.com/ux-research/ux-research-report/" TargetMode="External"/><Relationship Id="rId42" Type="http://schemas.openxmlformats.org/officeDocument/2006/relationships/hyperlink" Target="https://www.usability.gov/how-to-and-tools/methods/usability-testing.html" TargetMode="External"/><Relationship Id="rId47" Type="http://schemas.openxmlformats.org/officeDocument/2006/relationships/hyperlink" Target="https://researchops.community/" TargetMode="External"/><Relationship Id="rId50" Type="http://schemas.openxmlformats.org/officeDocument/2006/relationships/hyperlink" Target="https://www.w3.org/TR/WCAG22/" TargetMode="External"/><Relationship Id="rId7" Type="http://schemas.openxmlformats.org/officeDocument/2006/relationships/hyperlink" Target="https://www.nngroup.com/articles/research-questions/" TargetMode="External"/><Relationship Id="rId2" Type="http://schemas.openxmlformats.org/officeDocument/2006/relationships/hyperlink" Target="https://www.nngroup.com/articles/research-learning-spirals/" TargetMode="External"/><Relationship Id="rId16" Type="http://schemas.openxmlformats.org/officeDocument/2006/relationships/hyperlink" Target="https://www.interaction-design.org/literature/topics/usability-testing" TargetMode="External"/><Relationship Id="rId29" Type="http://schemas.openxmlformats.org/officeDocument/2006/relationships/hyperlink" Target="https://www.nngroup.com/articles/affinity-diagram/" TargetMode="External"/><Relationship Id="rId11" Type="http://schemas.openxmlformats.org/officeDocument/2006/relationships/hyperlink" Target="https://www.nngroup.com/articles/task-scenarios-usability-testing/" TargetMode="External"/><Relationship Id="rId24" Type="http://schemas.openxmlformats.org/officeDocument/2006/relationships/hyperlink" Target="https://www.nngroup.com/articles/taking-notes-user-research/" TargetMode="External"/><Relationship Id="rId32" Type="http://schemas.openxmlformats.org/officeDocument/2006/relationships/hyperlink" Target="https://www.interaction-design.org/literature/topics/usability-testing" TargetMode="External"/><Relationship Id="rId37" Type="http://schemas.openxmlformats.org/officeDocument/2006/relationships/hyperlink" Target="https://uxdesign.cc/how-to-write-a-ux-research-report-that-people-will-actually-read-12a9e4a94b2f" TargetMode="External"/><Relationship Id="rId40" Type="http://schemas.openxmlformats.org/officeDocument/2006/relationships/hyperlink" Target="https://researchops.community/" TargetMode="External"/><Relationship Id="rId45" Type="http://schemas.openxmlformats.org/officeDocument/2006/relationships/hyperlink" Target="https://dovetail.com/ux-research/usability-testing/" TargetMode="External"/><Relationship Id="rId5" Type="http://schemas.openxmlformats.org/officeDocument/2006/relationships/hyperlink" Target="https://researchops.community/" TargetMode="External"/><Relationship Id="rId15" Type="http://schemas.openxmlformats.org/officeDocument/2006/relationships/hyperlink" Target="https://maze.co/guides/usability-testing/" TargetMode="External"/><Relationship Id="rId23" Type="http://schemas.openxmlformats.org/officeDocument/2006/relationships/hyperlink" Target="https://www.nngroup.com/articles/success-rate-the-simplest-usability-metric/" TargetMode="External"/><Relationship Id="rId28" Type="http://schemas.openxmlformats.org/officeDocument/2006/relationships/hyperlink" Target="https://www.nngroup.com/articles/debrief-usability-tests/" TargetMode="External"/><Relationship Id="rId36" Type="http://schemas.openxmlformats.org/officeDocument/2006/relationships/hyperlink" Target="https://www.nngroup.com/articles/user-testing-highlight-reel/" TargetMode="External"/><Relationship Id="rId49" Type="http://schemas.openxmlformats.org/officeDocument/2006/relationships/hyperlink" Target="https://www.nngroup.com/articles/measuring-perceived-usability/" TargetMode="External"/><Relationship Id="rId10" Type="http://schemas.openxmlformats.org/officeDocument/2006/relationships/hyperlink" Target="https://www.nngroup.com/articles/measuring-perceived-usability/" TargetMode="External"/><Relationship Id="rId19" Type="http://schemas.openxmlformats.org/officeDocument/2006/relationships/hyperlink" Target="https://www.userzoom.com/ux-library/how-to-recruit-participants-for-usability-testing/" TargetMode="External"/><Relationship Id="rId31" Type="http://schemas.openxmlformats.org/officeDocument/2006/relationships/hyperlink" Target="https://www.nngroup.com/articles/how-to-rate-the-severity-of-usability-problems/" TargetMode="External"/><Relationship Id="rId44" Type="http://schemas.openxmlformats.org/officeDocument/2006/relationships/hyperlink" Target="https://maze.co/guides/usability-testing/" TargetMode="External"/><Relationship Id="rId4" Type="http://schemas.openxmlformats.org/officeDocument/2006/relationships/hyperlink" Target="https://maze.co/guides/ux-research/" TargetMode="External"/><Relationship Id="rId9" Type="http://schemas.openxmlformats.org/officeDocument/2006/relationships/hyperlink" Target="https://www.interaction-design.org/literature/topics/usability-testing" TargetMode="External"/><Relationship Id="rId14" Type="http://schemas.openxmlformats.org/officeDocument/2006/relationships/hyperlink" Target="https://www.nngroup.com/articles/pilot-testing/" TargetMode="External"/><Relationship Id="rId22" Type="http://schemas.openxmlformats.org/officeDocument/2006/relationships/hyperlink" Target="https://researchops.community/" TargetMode="External"/><Relationship Id="rId27" Type="http://schemas.openxmlformats.org/officeDocument/2006/relationships/hyperlink" Target="https://maze.co/guides/usability-testing/remote-usability-testing/" TargetMode="External"/><Relationship Id="rId30" Type="http://schemas.openxmlformats.org/officeDocument/2006/relationships/hyperlink" Target="https://www.nngroup.com/articles/success-rate-the-simplest-usability-metric/" TargetMode="External"/><Relationship Id="rId35" Type="http://schemas.openxmlformats.org/officeDocument/2006/relationships/hyperlink" Target="https://www.nngroup.com/articles/communicating-user-research/" TargetMode="External"/><Relationship Id="rId43" Type="http://schemas.openxmlformats.org/officeDocument/2006/relationships/hyperlink" Target="https://www.interaction-design.org/literature/topics/usability-testing" TargetMode="External"/><Relationship Id="rId48" Type="http://schemas.openxmlformats.org/officeDocument/2006/relationships/hyperlink" Target="https://www.usability.gov/how-to-and-tools/methods/system-usability-scale.html" TargetMode="External"/><Relationship Id="rId8" Type="http://schemas.openxmlformats.org/officeDocument/2006/relationships/hyperlink" Target="https://www.usability.gov/how-to-and-tools/methods/usability-testing.html" TargetMode="External"/><Relationship Id="rId51" Type="http://schemas.openxmlformats.org/officeDocument/2006/relationships/hyperlink" Target="https://dovetail.com/customer-research/" TargetMode="External"/><Relationship Id="rId3" Type="http://schemas.openxmlformats.org/officeDocument/2006/relationships/hyperlink" Target="https://uxdesign.cc/how-to-align-stakeholders-on-ux-research-goals-8a6f9e4f7f93" TargetMode="External"/><Relationship Id="rId12" Type="http://schemas.openxmlformats.org/officeDocument/2006/relationships/hyperlink" Target="https://www.nngroup.com/articles/priming/" TargetMode="External"/><Relationship Id="rId17" Type="http://schemas.openxmlformats.org/officeDocument/2006/relationships/hyperlink" Target="https://www.nngroup.com/articles/recruiting-usability-study-participants/" TargetMode="External"/><Relationship Id="rId25" Type="http://schemas.openxmlformats.org/officeDocument/2006/relationships/hyperlink" Target="https://www.usability.gov/how-to-and-tools/methods/system-usability-scale.html" TargetMode="External"/><Relationship Id="rId33" Type="http://schemas.openxmlformats.org/officeDocument/2006/relationships/hyperlink" Target="https://www.nngroup.com/articles/ux-research-collaborators/" TargetMode="External"/><Relationship Id="rId38" Type="http://schemas.openxmlformats.org/officeDocument/2006/relationships/hyperlink" Target="https://www.nngroup.com/articles/ux-research-buy-in/" TargetMode="External"/><Relationship Id="rId46" Type="http://schemas.openxmlformats.org/officeDocument/2006/relationships/hyperlink" Target="https://www.sensible.com/rocket-surgery-made-easy.html" TargetMode="External"/><Relationship Id="rId20" Type="http://schemas.openxmlformats.org/officeDocument/2006/relationships/hyperlink" Target="https://dovetail.com/ux-research/usability-testing/" TargetMode="External"/><Relationship Id="rId41" Type="http://schemas.openxmlformats.org/officeDocument/2006/relationships/hyperlink" Target="https://www.nngroup.com/articles/tag/usability-testing/" TargetMode="External"/><Relationship Id="rId1" Type="http://schemas.openxmlformats.org/officeDocument/2006/relationships/hyperlink" Target="https://www.nngroup.com/articles/ux-research-buy-in/" TargetMode="External"/><Relationship Id="rId6" Type="http://schemas.openxmlformats.org/officeDocument/2006/relationships/hyperlink" Target="https://www.nngroup.com/articles/documenting-ux-re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0"/>
  <sheetViews>
    <sheetView showGridLines="0" zoomScale="120" zoomScaleNormal="100" workbookViewId="0">
      <pane xSplit="2" ySplit="2" topLeftCell="C3" activePane="bottomRight" state="frozen"/>
      <selection activeCell="C6" sqref="C6"/>
      <selection pane="topRight" activeCell="C6" sqref="C6"/>
      <selection pane="bottomLeft" activeCell="C6" sqref="C6"/>
      <selection pane="bottomRight" activeCell="C6" sqref="C6"/>
    </sheetView>
  </sheetViews>
  <sheetFormatPr defaultColWidth="8.7109375" defaultRowHeight="15" x14ac:dyDescent="0.25"/>
  <cols>
    <col min="1" max="2" width="3" customWidth="1"/>
    <col min="3" max="3" width="60" customWidth="1"/>
    <col min="4" max="4" width="42" customWidth="1"/>
    <col min="5" max="5" width="3" customWidth="1"/>
  </cols>
  <sheetData>
    <row r="1" spans="2:4" ht="43.5" customHeight="1" x14ac:dyDescent="0.25">
      <c r="B1" s="10" t="s">
        <v>0</v>
      </c>
      <c r="C1" s="10"/>
      <c r="D1" s="10"/>
    </row>
    <row r="2" spans="2:4" ht="27.75" customHeight="1" x14ac:dyDescent="0.25">
      <c r="C2" s="11" t="s">
        <v>1</v>
      </c>
      <c r="D2" s="11" t="s">
        <v>2</v>
      </c>
    </row>
    <row r="3" spans="2:4" ht="27.75" customHeight="1" x14ac:dyDescent="0.25">
      <c r="C3" s="8" t="s">
        <v>347</v>
      </c>
      <c r="D3" s="8"/>
    </row>
    <row r="4" spans="2:4" ht="31.5" customHeight="1" x14ac:dyDescent="0.25">
      <c r="B4" s="12" t="s">
        <v>3</v>
      </c>
      <c r="C4" s="13" t="s">
        <v>320</v>
      </c>
      <c r="D4" s="14"/>
    </row>
    <row r="5" spans="2:4" ht="31.5" customHeight="1" x14ac:dyDescent="0.25">
      <c r="B5" s="15" t="s">
        <v>3</v>
      </c>
      <c r="C5" s="16" t="s">
        <v>321</v>
      </c>
      <c r="D5" s="14"/>
    </row>
    <row r="6" spans="2:4" ht="31.5" customHeight="1" x14ac:dyDescent="0.25">
      <c r="B6" s="12" t="s">
        <v>3</v>
      </c>
      <c r="C6" s="13" t="s">
        <v>322</v>
      </c>
      <c r="D6" s="14"/>
    </row>
    <row r="7" spans="2:4" ht="31.5" customHeight="1" x14ac:dyDescent="0.25">
      <c r="B7" s="15" t="s">
        <v>3</v>
      </c>
      <c r="C7" s="16" t="s">
        <v>4</v>
      </c>
      <c r="D7" s="14"/>
    </row>
    <row r="8" spans="2:4" ht="31.5" customHeight="1" x14ac:dyDescent="0.25">
      <c r="B8" s="12" t="s">
        <v>3</v>
      </c>
      <c r="C8" s="13" t="s">
        <v>5</v>
      </c>
      <c r="D8" s="14"/>
    </row>
    <row r="9" spans="2:4" ht="33.75" customHeight="1" x14ac:dyDescent="0.25">
      <c r="B9" s="15" t="s">
        <v>3</v>
      </c>
      <c r="C9" s="16" t="s">
        <v>323</v>
      </c>
      <c r="D9" s="14"/>
    </row>
    <row r="10" spans="2:4" ht="17.25" customHeight="1" x14ac:dyDescent="0.25">
      <c r="B10" s="17"/>
      <c r="C10" s="17"/>
      <c r="D10" s="17"/>
    </row>
    <row r="11" spans="2:4" ht="27.75" customHeight="1" x14ac:dyDescent="0.25">
      <c r="C11" s="7" t="s">
        <v>6</v>
      </c>
      <c r="D11" s="7"/>
    </row>
    <row r="12" spans="2:4" ht="31.5" customHeight="1" x14ac:dyDescent="0.25">
      <c r="B12" s="18" t="s">
        <v>3</v>
      </c>
      <c r="C12" s="19" t="s">
        <v>324</v>
      </c>
      <c r="D12" s="14"/>
    </row>
    <row r="13" spans="2:4" ht="31.5" customHeight="1" x14ac:dyDescent="0.25">
      <c r="B13" s="20" t="s">
        <v>3</v>
      </c>
      <c r="C13" s="16" t="s">
        <v>7</v>
      </c>
      <c r="D13" s="14"/>
    </row>
    <row r="14" spans="2:4" ht="31.5" customHeight="1" x14ac:dyDescent="0.25">
      <c r="B14" s="18" t="s">
        <v>3</v>
      </c>
      <c r="C14" s="19" t="s">
        <v>325</v>
      </c>
      <c r="D14" s="14"/>
    </row>
    <row r="15" spans="2:4" ht="31.5" customHeight="1" x14ac:dyDescent="0.25">
      <c r="B15" s="20" t="s">
        <v>3</v>
      </c>
      <c r="C15" s="16" t="s">
        <v>8</v>
      </c>
      <c r="D15" s="14"/>
    </row>
    <row r="16" spans="2:4" ht="31.5" customHeight="1" x14ac:dyDescent="0.25">
      <c r="B16" s="18" t="s">
        <v>3</v>
      </c>
      <c r="C16" s="19" t="s">
        <v>9</v>
      </c>
      <c r="D16" s="14"/>
    </row>
    <row r="17" spans="2:4" ht="31.5" customHeight="1" x14ac:dyDescent="0.25">
      <c r="B17" s="20" t="s">
        <v>3</v>
      </c>
      <c r="C17" s="16" t="s">
        <v>10</v>
      </c>
      <c r="D17" s="14"/>
    </row>
    <row r="18" spans="2:4" ht="31.5" customHeight="1" x14ac:dyDescent="0.25">
      <c r="B18" s="18" t="s">
        <v>3</v>
      </c>
      <c r="C18" s="19" t="s">
        <v>326</v>
      </c>
      <c r="D18" s="14"/>
    </row>
    <row r="19" spans="2:4" ht="7.5" customHeight="1" x14ac:dyDescent="0.25">
      <c r="B19" s="17"/>
      <c r="C19" s="17"/>
      <c r="D19" s="17"/>
    </row>
    <row r="20" spans="2:4" ht="27.75" customHeight="1" x14ac:dyDescent="0.25">
      <c r="C20" s="6" t="s">
        <v>11</v>
      </c>
      <c r="D20" s="6"/>
    </row>
    <row r="21" spans="2:4" ht="31.5" customHeight="1" x14ac:dyDescent="0.25">
      <c r="B21" s="21" t="s">
        <v>3</v>
      </c>
      <c r="C21" s="22" t="s">
        <v>12</v>
      </c>
      <c r="D21" s="14"/>
    </row>
    <row r="22" spans="2:4" ht="31.5" customHeight="1" x14ac:dyDescent="0.25">
      <c r="B22" s="23" t="s">
        <v>3</v>
      </c>
      <c r="C22" s="16" t="s">
        <v>13</v>
      </c>
      <c r="D22" s="14"/>
    </row>
    <row r="23" spans="2:4" ht="31.5" customHeight="1" x14ac:dyDescent="0.25">
      <c r="B23" s="21" t="s">
        <v>3</v>
      </c>
      <c r="C23" s="22" t="s">
        <v>14</v>
      </c>
      <c r="D23" s="14"/>
    </row>
    <row r="24" spans="2:4" ht="45.75" customHeight="1" x14ac:dyDescent="0.25">
      <c r="B24" s="23" t="s">
        <v>3</v>
      </c>
      <c r="C24" s="16" t="s">
        <v>15</v>
      </c>
      <c r="D24" s="14"/>
    </row>
    <row r="25" spans="2:4" ht="31.5" customHeight="1" x14ac:dyDescent="0.25">
      <c r="B25" s="21" t="s">
        <v>3</v>
      </c>
      <c r="C25" s="22" t="s">
        <v>16</v>
      </c>
      <c r="D25" s="14"/>
    </row>
    <row r="26" spans="2:4" ht="31.5" customHeight="1" x14ac:dyDescent="0.25">
      <c r="B26" s="23" t="s">
        <v>3</v>
      </c>
      <c r="C26" s="16" t="s">
        <v>17</v>
      </c>
      <c r="D26" s="14"/>
    </row>
    <row r="27" spans="2:4" ht="31.5" customHeight="1" x14ac:dyDescent="0.25">
      <c r="B27" s="21" t="s">
        <v>3</v>
      </c>
      <c r="C27" s="22" t="s">
        <v>18</v>
      </c>
      <c r="D27" s="14"/>
    </row>
    <row r="28" spans="2:4" ht="7.5" customHeight="1" x14ac:dyDescent="0.25">
      <c r="B28" s="17"/>
      <c r="C28" s="17"/>
      <c r="D28" s="17"/>
    </row>
    <row r="29" spans="2:4" ht="27.75" customHeight="1" x14ac:dyDescent="0.25">
      <c r="C29" s="5" t="s">
        <v>19</v>
      </c>
      <c r="D29" s="5"/>
    </row>
    <row r="30" spans="2:4" ht="31.5" customHeight="1" x14ac:dyDescent="0.25">
      <c r="B30" s="24" t="s">
        <v>3</v>
      </c>
      <c r="C30" s="25" t="s">
        <v>20</v>
      </c>
      <c r="D30" s="14"/>
    </row>
    <row r="31" spans="2:4" ht="31.5" customHeight="1" x14ac:dyDescent="0.25">
      <c r="B31" s="26" t="s">
        <v>3</v>
      </c>
      <c r="C31" s="16" t="s">
        <v>21</v>
      </c>
      <c r="D31" s="14"/>
    </row>
    <row r="32" spans="2:4" ht="31.5" customHeight="1" x14ac:dyDescent="0.25">
      <c r="B32" s="24" t="s">
        <v>3</v>
      </c>
      <c r="C32" s="25" t="s">
        <v>22</v>
      </c>
      <c r="D32" s="14"/>
    </row>
    <row r="33" spans="2:4" ht="31.5" customHeight="1" x14ac:dyDescent="0.25">
      <c r="B33" s="26" t="s">
        <v>3</v>
      </c>
      <c r="C33" s="16" t="s">
        <v>327</v>
      </c>
      <c r="D33" s="14"/>
    </row>
    <row r="34" spans="2:4" ht="31.5" customHeight="1" x14ac:dyDescent="0.25">
      <c r="B34" s="24" t="s">
        <v>3</v>
      </c>
      <c r="C34" s="25" t="s">
        <v>23</v>
      </c>
      <c r="D34" s="14"/>
    </row>
    <row r="35" spans="2:4" ht="31.5" customHeight="1" x14ac:dyDescent="0.25">
      <c r="B35" s="26" t="s">
        <v>3</v>
      </c>
      <c r="C35" s="16" t="s">
        <v>24</v>
      </c>
      <c r="D35" s="14"/>
    </row>
    <row r="36" spans="2:4" ht="31.5" customHeight="1" x14ac:dyDescent="0.25">
      <c r="B36" s="24" t="s">
        <v>3</v>
      </c>
      <c r="C36" s="25" t="s">
        <v>25</v>
      </c>
      <c r="D36" s="14"/>
    </row>
    <row r="37" spans="2:4" ht="31.5" customHeight="1" x14ac:dyDescent="0.25">
      <c r="B37" s="26" t="s">
        <v>3</v>
      </c>
      <c r="C37" s="16" t="s">
        <v>26</v>
      </c>
      <c r="D37" s="14"/>
    </row>
    <row r="38" spans="2:4" ht="31.5" customHeight="1" x14ac:dyDescent="0.25">
      <c r="B38" s="24" t="s">
        <v>3</v>
      </c>
      <c r="C38" s="25" t="s">
        <v>27</v>
      </c>
      <c r="D38" s="14"/>
    </row>
    <row r="39" spans="2:4" ht="7.5" customHeight="1" x14ac:dyDescent="0.25">
      <c r="B39" s="17"/>
      <c r="C39" s="17"/>
      <c r="D39" s="17"/>
    </row>
    <row r="40" spans="2:4" ht="7.5" customHeight="1" x14ac:dyDescent="0.25">
      <c r="B40" s="17"/>
      <c r="C40" s="17"/>
      <c r="D40" s="17"/>
    </row>
    <row r="41" spans="2:4" ht="27.75" customHeight="1" x14ac:dyDescent="0.25">
      <c r="C41" s="4" t="s">
        <v>346</v>
      </c>
      <c r="D41" s="4"/>
    </row>
    <row r="42" spans="2:4" ht="31.5" customHeight="1" x14ac:dyDescent="0.25">
      <c r="B42" s="27" t="s">
        <v>3</v>
      </c>
      <c r="C42" s="28" t="s">
        <v>29</v>
      </c>
      <c r="D42" s="14"/>
    </row>
    <row r="43" spans="2:4" ht="31.5" customHeight="1" x14ac:dyDescent="0.25">
      <c r="B43" s="29" t="s">
        <v>3</v>
      </c>
      <c r="C43" s="16" t="s">
        <v>30</v>
      </c>
      <c r="D43" s="14"/>
    </row>
    <row r="44" spans="2:4" ht="31.5" customHeight="1" x14ac:dyDescent="0.25">
      <c r="B44" s="27" t="s">
        <v>3</v>
      </c>
      <c r="C44" s="28" t="s">
        <v>31</v>
      </c>
      <c r="D44" s="14"/>
    </row>
    <row r="45" spans="2:4" ht="31.5" customHeight="1" x14ac:dyDescent="0.25">
      <c r="B45" s="29" t="s">
        <v>3</v>
      </c>
      <c r="C45" s="16" t="s">
        <v>32</v>
      </c>
      <c r="D45" s="14"/>
    </row>
    <row r="46" spans="2:4" ht="31.5" customHeight="1" x14ac:dyDescent="0.25">
      <c r="B46" s="27" t="s">
        <v>3</v>
      </c>
      <c r="C46" s="28" t="s">
        <v>33</v>
      </c>
      <c r="D46" s="14"/>
    </row>
    <row r="47" spans="2:4" ht="31.5" customHeight="1" x14ac:dyDescent="0.25">
      <c r="B47" s="29" t="s">
        <v>3</v>
      </c>
      <c r="C47" s="16" t="s">
        <v>34</v>
      </c>
      <c r="D47" s="14"/>
    </row>
    <row r="48" spans="2:4" ht="31.5" customHeight="1" x14ac:dyDescent="0.25">
      <c r="B48" s="27" t="s">
        <v>3</v>
      </c>
      <c r="C48" s="28" t="s">
        <v>35</v>
      </c>
      <c r="D48" s="14"/>
    </row>
    <row r="49" spans="2:4" ht="7.5" customHeight="1" x14ac:dyDescent="0.25">
      <c r="B49" s="17"/>
      <c r="C49" s="17"/>
      <c r="D49" s="17"/>
    </row>
    <row r="50" spans="2:4" ht="27.75" customHeight="1" x14ac:dyDescent="0.25">
      <c r="C50" s="7" t="s">
        <v>36</v>
      </c>
      <c r="D50" s="7"/>
    </row>
    <row r="51" spans="2:4" ht="31.5" customHeight="1" x14ac:dyDescent="0.25">
      <c r="B51" s="18" t="s">
        <v>3</v>
      </c>
      <c r="C51" s="19" t="s">
        <v>328</v>
      </c>
      <c r="D51" s="14"/>
    </row>
    <row r="52" spans="2:4" ht="31.5" customHeight="1" x14ac:dyDescent="0.25">
      <c r="B52" s="20" t="s">
        <v>3</v>
      </c>
      <c r="C52" s="16" t="s">
        <v>37</v>
      </c>
      <c r="D52" s="14"/>
    </row>
    <row r="53" spans="2:4" ht="31.5" customHeight="1" x14ac:dyDescent="0.25">
      <c r="B53" s="18" t="s">
        <v>3</v>
      </c>
      <c r="C53" s="19" t="s">
        <v>329</v>
      </c>
      <c r="D53" s="14"/>
    </row>
    <row r="54" spans="2:4" ht="31.5" customHeight="1" x14ac:dyDescent="0.25">
      <c r="B54" s="20" t="s">
        <v>3</v>
      </c>
      <c r="C54" s="16" t="s">
        <v>38</v>
      </c>
      <c r="D54" s="14"/>
    </row>
    <row r="55" spans="2:4" ht="7.5" customHeight="1" x14ac:dyDescent="0.25">
      <c r="B55" s="17"/>
      <c r="C55" s="17"/>
      <c r="D55" s="17"/>
    </row>
    <row r="56" spans="2:4" ht="7.5" customHeight="1" x14ac:dyDescent="0.25">
      <c r="B56" s="17"/>
      <c r="C56" s="17"/>
      <c r="D56" s="17"/>
    </row>
    <row r="57" spans="2:4" ht="27.75" customHeight="1" x14ac:dyDescent="0.25">
      <c r="C57" s="8" t="s">
        <v>39</v>
      </c>
      <c r="D57" s="8"/>
    </row>
    <row r="58" spans="2:4" ht="31.5" customHeight="1" x14ac:dyDescent="0.25">
      <c r="B58" s="12" t="s">
        <v>3</v>
      </c>
      <c r="C58" s="13" t="s">
        <v>40</v>
      </c>
      <c r="D58" s="14"/>
    </row>
    <row r="59" spans="2:4" ht="31.5" customHeight="1" x14ac:dyDescent="0.25">
      <c r="B59" s="15" t="s">
        <v>3</v>
      </c>
      <c r="C59" s="16" t="s">
        <v>41</v>
      </c>
      <c r="D59" s="14"/>
    </row>
    <row r="60" spans="2:4" ht="7.5" customHeight="1" x14ac:dyDescent="0.25">
      <c r="B60" s="17"/>
      <c r="C60" s="17"/>
      <c r="D60" s="17"/>
    </row>
  </sheetData>
  <mergeCells count="8">
    <mergeCell ref="C57:D57"/>
    <mergeCell ref="C20:D20"/>
    <mergeCell ref="C29:D29"/>
    <mergeCell ref="C41:D41"/>
    <mergeCell ref="C50:D50"/>
    <mergeCell ref="B1:D1"/>
    <mergeCell ref="C3:D3"/>
    <mergeCell ref="C11:D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56"/>
  <sheetViews>
    <sheetView showGridLines="0" tabSelected="1" zoomScale="120" zoomScaleNormal="120" workbookViewId="0">
      <pane xSplit="2" ySplit="3" topLeftCell="C4" activePane="bottomRight" state="frozen"/>
      <selection activeCell="A65" sqref="A65:XFD70"/>
      <selection pane="topRight" activeCell="A65" sqref="A65:XFD70"/>
      <selection pane="bottomLeft" activeCell="A65" sqref="A65:XFD70"/>
      <selection pane="bottomRight" activeCell="G13" sqref="G13"/>
    </sheetView>
  </sheetViews>
  <sheetFormatPr defaultColWidth="8.7109375" defaultRowHeight="15" x14ac:dyDescent="0.25"/>
  <cols>
    <col min="1" max="1" width="4" customWidth="1"/>
    <col min="2" max="2" width="22" customWidth="1"/>
    <col min="3" max="7" width="16" customWidth="1"/>
  </cols>
  <sheetData>
    <row r="1" spans="2:7" ht="39.75" customHeight="1" x14ac:dyDescent="0.25">
      <c r="B1" s="3" t="s">
        <v>42</v>
      </c>
      <c r="C1" s="3"/>
      <c r="D1" s="3"/>
      <c r="E1" s="3"/>
      <c r="F1" s="3"/>
      <c r="G1" s="3"/>
    </row>
    <row r="2" spans="2:7" ht="24" customHeight="1" x14ac:dyDescent="0.25">
      <c r="B2" s="2" t="s">
        <v>43</v>
      </c>
      <c r="C2" s="2"/>
      <c r="D2" s="2"/>
      <c r="E2" s="2"/>
      <c r="F2" s="2"/>
      <c r="G2" s="2"/>
    </row>
    <row r="3" spans="2:7" ht="30" customHeight="1" x14ac:dyDescent="0.25">
      <c r="B3" s="31" t="s">
        <v>44</v>
      </c>
      <c r="C3" s="32" t="s">
        <v>45</v>
      </c>
      <c r="D3" s="33" t="s">
        <v>46</v>
      </c>
      <c r="E3" s="34" t="s">
        <v>47</v>
      </c>
      <c r="F3" s="35" t="s">
        <v>48</v>
      </c>
      <c r="G3" s="36" t="s">
        <v>49</v>
      </c>
    </row>
    <row r="4" spans="2:7" ht="24" customHeight="1" x14ac:dyDescent="0.25">
      <c r="B4" s="37" t="s">
        <v>50</v>
      </c>
      <c r="C4" s="38">
        <f>COUNTIF(Data!C5:C194,"Success")</f>
        <v>0</v>
      </c>
      <c r="D4" s="38">
        <f>COUNTIF(Data!F5:F19,"Success")</f>
        <v>0</v>
      </c>
      <c r="E4" s="38">
        <f>COUNTIF(Data!I5:I19,"Success")</f>
        <v>0</v>
      </c>
      <c r="F4" s="38">
        <f>COUNTIF(Data!L5:L19,"Success")</f>
        <v>0</v>
      </c>
      <c r="G4" s="38">
        <f>COUNTIF(Data!O5:O19,"Success")</f>
        <v>0</v>
      </c>
    </row>
    <row r="5" spans="2:7" ht="24" customHeight="1" x14ac:dyDescent="0.25">
      <c r="B5" s="37" t="s">
        <v>165</v>
      </c>
      <c r="C5" s="39">
        <f>COUNTIF(Data!C5:C19,"Partial Fail")</f>
        <v>0</v>
      </c>
      <c r="D5" s="39">
        <f>COUNTIF(Data!F5:F19,"Partial Fail")</f>
        <v>0</v>
      </c>
      <c r="E5" s="39">
        <f>COUNTIF(Data!I5:I19,"Partial Fail")</f>
        <v>0</v>
      </c>
      <c r="F5" s="39">
        <f>COUNTIF(Data!L5:L19,"Partial Fail")</f>
        <v>0</v>
      </c>
      <c r="G5" s="39">
        <f>COUNTIF(Data!O5:O19,"Partial Fail")</f>
        <v>0</v>
      </c>
    </row>
    <row r="6" spans="2:7" ht="24" customHeight="1" x14ac:dyDescent="0.25">
      <c r="B6" s="37" t="s">
        <v>51</v>
      </c>
      <c r="C6" s="38">
        <f>COUNTIF(Data!C5:C19,"Fail")</f>
        <v>0</v>
      </c>
      <c r="D6" s="38">
        <f>COUNTIF(Data!F5:F19,"Fail")</f>
        <v>0</v>
      </c>
      <c r="E6" s="38">
        <f>COUNTIF(Data!I5:I19,"Fail")</f>
        <v>0</v>
      </c>
      <c r="F6" s="38">
        <f>COUNTIF(Data!L5:L19,"Fail")</f>
        <v>0</v>
      </c>
      <c r="G6" s="38">
        <f>COUNTIF(Data!O5:O19,"Fail")</f>
        <v>0</v>
      </c>
    </row>
    <row r="7" spans="2:7" ht="24" customHeight="1" x14ac:dyDescent="0.25">
      <c r="B7" s="37" t="s">
        <v>168</v>
      </c>
      <c r="C7" s="39">
        <f>COUNTIF(Data!C5:C19,"Time Limit")</f>
        <v>0</v>
      </c>
      <c r="D7" s="39">
        <f>COUNTIF(Data!F5:F19,"Time Limit")</f>
        <v>0</v>
      </c>
      <c r="E7" s="39">
        <f>COUNTIF(Data!I5:I19,"Time Limit")</f>
        <v>0</v>
      </c>
      <c r="F7" s="39">
        <f>COUNTIF(Data!L5:L19,"Time Limit")</f>
        <v>0</v>
      </c>
      <c r="G7" s="39">
        <f>COUNTIF(Data!O5:O19,"Time Limit")</f>
        <v>0</v>
      </c>
    </row>
    <row r="8" spans="2:7" ht="24" customHeight="1" x14ac:dyDescent="0.25">
      <c r="B8" s="37" t="s">
        <v>52</v>
      </c>
      <c r="C8" s="38">
        <f>COUNTIF(Data!C5:C19,"Give Up")</f>
        <v>0</v>
      </c>
      <c r="D8" s="38">
        <f>COUNTIF(Data!F5:F19,"Give Up")</f>
        <v>0</v>
      </c>
      <c r="E8" s="38">
        <f>COUNTIF(Data!I5:I19,"Give Up")</f>
        <v>0</v>
      </c>
      <c r="F8" s="38">
        <f>COUNTIF(Data!L5:L19,"Give Up")</f>
        <v>0</v>
      </c>
      <c r="G8" s="38">
        <f>COUNTIF(Data!O5:O19,"Give Up")</f>
        <v>0</v>
      </c>
    </row>
    <row r="9" spans="2:7" ht="24" customHeight="1" x14ac:dyDescent="0.25">
      <c r="B9" s="37" t="s">
        <v>53</v>
      </c>
      <c r="C9" s="39">
        <f>COUNTIF(Data!C5:C19,"Technical Issues")</f>
        <v>0</v>
      </c>
      <c r="D9" s="39">
        <f>COUNTIF(Data!F5:F19,"Technical Issues")</f>
        <v>0</v>
      </c>
      <c r="E9" s="39">
        <f>COUNTIF(Data!I5:I19,"Technical Issues")</f>
        <v>0</v>
      </c>
      <c r="F9" s="39">
        <f>COUNTIF(Data!L5:L19,"Technical Issues")</f>
        <v>0</v>
      </c>
      <c r="G9" s="39">
        <f>COUNTIF(Data!O5:O19,"Technical Issues")</f>
        <v>0</v>
      </c>
    </row>
    <row r="10" spans="2:7" ht="24" customHeight="1" x14ac:dyDescent="0.25">
      <c r="B10" s="37" t="s">
        <v>54</v>
      </c>
      <c r="C10" s="38">
        <f>COUNTIF(Data!C5:C19,"Other")</f>
        <v>0</v>
      </c>
      <c r="D10" s="38">
        <f>COUNTIF(Data!F5:F19,"Other")</f>
        <v>0</v>
      </c>
      <c r="E10" s="38">
        <f>COUNTIF(Data!I5:I19,"Other")</f>
        <v>0</v>
      </c>
      <c r="F10" s="38">
        <f>COUNTIF(Data!L5:L19,"Other")</f>
        <v>0</v>
      </c>
      <c r="G10" s="38">
        <f>COUNTIF(Data!O5:O19,"Other")</f>
        <v>0</v>
      </c>
    </row>
    <row r="11" spans="2:7" ht="33.75" customHeight="1" x14ac:dyDescent="0.25">
      <c r="B11" s="37" t="s">
        <v>55</v>
      </c>
      <c r="C11" s="39">
        <f>COUNTA(Data!C5:C19)</f>
        <v>0</v>
      </c>
      <c r="D11" s="39">
        <f>COUNTA(Data!F5:F19)</f>
        <v>0</v>
      </c>
      <c r="E11" s="39">
        <f>COUNTA(Data!I5:I19)</f>
        <v>0</v>
      </c>
      <c r="F11" s="39">
        <f>COUNTA(Data!L5:L19)</f>
        <v>0</v>
      </c>
      <c r="G11" s="39">
        <f>COUNTA(Data!O5:O19)</f>
        <v>0</v>
      </c>
    </row>
    <row r="12" spans="2:7" ht="17.25" customHeight="1" x14ac:dyDescent="0.25">
      <c r="B12" s="37" t="s">
        <v>56</v>
      </c>
      <c r="C12" s="40" t="str">
        <f>IFERROR(COUNTIF(Data!C5:C19,"Success")/COUNTA(Data!C5:C19),"")</f>
        <v/>
      </c>
      <c r="D12" s="40" t="str">
        <f>IFERROR(COUNTIF(Data!F5:F19,"Success")/COUNTA(Data!F5:F19),"")</f>
        <v/>
      </c>
      <c r="E12" s="40" t="str">
        <f>IFERROR(COUNTIF(Data!I5:I19,"Success")/COUNTA(Data!I5:I19),"")</f>
        <v/>
      </c>
      <c r="F12" s="40" t="str">
        <f>IFERROR(COUNTIF(Data!L5:L19,"Success")/COUNTA(Data!L5:L19),"")</f>
        <v/>
      </c>
      <c r="G12" s="40" t="str">
        <f>IFERROR(COUNTIF(Data!O5:O19,"Success")/COUNTA(Data!O5:O19),"")</f>
        <v/>
      </c>
    </row>
    <row r="14" spans="2:7" ht="24" customHeight="1" x14ac:dyDescent="0.25">
      <c r="B14" s="2" t="s">
        <v>57</v>
      </c>
      <c r="C14" s="2"/>
      <c r="D14" s="2"/>
      <c r="E14" s="2"/>
      <c r="F14" s="2"/>
      <c r="G14" s="2"/>
    </row>
    <row r="15" spans="2:7" ht="30" customHeight="1" x14ac:dyDescent="0.25">
      <c r="B15" s="37" t="s">
        <v>58</v>
      </c>
      <c r="C15" s="1"/>
      <c r="D15" s="103"/>
      <c r="E15" s="103"/>
      <c r="F15" s="103"/>
      <c r="G15" s="103"/>
    </row>
    <row r="16" spans="2:7" ht="30" customHeight="1" x14ac:dyDescent="0.25">
      <c r="B16" s="37" t="s">
        <v>59</v>
      </c>
      <c r="C16" s="80"/>
      <c r="D16" s="80"/>
      <c r="E16" s="80"/>
      <c r="F16" s="80"/>
      <c r="G16" s="80"/>
    </row>
    <row r="17" spans="2:7" ht="30" customHeight="1" x14ac:dyDescent="0.25">
      <c r="B17" s="37" t="s">
        <v>60</v>
      </c>
      <c r="C17" s="81" t="str">
        <f>IFERROR(AVERAGE(C13:G13),"")</f>
        <v/>
      </c>
      <c r="D17" s="81"/>
      <c r="E17" s="81"/>
      <c r="F17" s="81"/>
      <c r="G17" s="81"/>
    </row>
    <row r="18" spans="2:7" ht="30" customHeight="1" x14ac:dyDescent="0.25">
      <c r="B18" s="37" t="s">
        <v>61</v>
      </c>
      <c r="C18" s="80"/>
      <c r="D18" s="80"/>
      <c r="E18" s="80"/>
      <c r="F18" s="80"/>
      <c r="G18" s="80"/>
    </row>
    <row r="19" spans="2:7" ht="30" customHeight="1" x14ac:dyDescent="0.25">
      <c r="B19" s="37" t="s">
        <v>62</v>
      </c>
      <c r="C19" s="1"/>
      <c r="D19" s="1"/>
      <c r="E19" s="1"/>
      <c r="F19" s="1"/>
      <c r="G19" s="1"/>
    </row>
    <row r="20" spans="2:7" ht="30" customHeight="1" x14ac:dyDescent="0.25">
      <c r="B20" s="37" t="s">
        <v>63</v>
      </c>
      <c r="C20" s="80"/>
      <c r="D20" s="80"/>
      <c r="E20" s="80"/>
      <c r="F20" s="80"/>
      <c r="G20" s="80"/>
    </row>
    <row r="21" spans="2:7" ht="30" customHeight="1" x14ac:dyDescent="0.25">
      <c r="B21" s="37" t="s">
        <v>64</v>
      </c>
      <c r="C21" s="1"/>
      <c r="D21" s="1"/>
      <c r="E21" s="1"/>
      <c r="F21" s="1"/>
      <c r="G21" s="1"/>
    </row>
    <row r="22" spans="2:7" ht="30" customHeight="1" x14ac:dyDescent="0.25">
      <c r="B22" s="37" t="s">
        <v>65</v>
      </c>
      <c r="C22" s="80"/>
      <c r="D22" s="80"/>
      <c r="E22" s="80"/>
      <c r="F22" s="80"/>
      <c r="G22" s="80"/>
    </row>
    <row r="26" spans="2:7" ht="45.75" customHeight="1" x14ac:dyDescent="0.25"/>
    <row r="35" spans="3:3" x14ac:dyDescent="0.25">
      <c r="C35" t="s">
        <v>327</v>
      </c>
    </row>
    <row r="53" spans="3:3" x14ac:dyDescent="0.25">
      <c r="C53" t="s">
        <v>328</v>
      </c>
    </row>
    <row r="55" spans="3:3" x14ac:dyDescent="0.25">
      <c r="C55" t="s">
        <v>329</v>
      </c>
    </row>
    <row r="56" spans="3:3" x14ac:dyDescent="0.25">
      <c r="C56" t="s">
        <v>38</v>
      </c>
    </row>
  </sheetData>
  <mergeCells count="11">
    <mergeCell ref="C21:G21"/>
    <mergeCell ref="C22:G22"/>
    <mergeCell ref="C15:G15"/>
    <mergeCell ref="C16:G16"/>
    <mergeCell ref="C17:G17"/>
    <mergeCell ref="C18:G18"/>
    <mergeCell ref="C19:G19"/>
    <mergeCell ref="C20:G20"/>
    <mergeCell ref="B1:G1"/>
    <mergeCell ref="B2:G2"/>
    <mergeCell ref="B14:G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23"/>
  <sheetViews>
    <sheetView showGridLines="0" zoomScaleNormal="100" workbookViewId="0">
      <pane xSplit="1" ySplit="2" topLeftCell="B3" activePane="bottomRight" state="frozen"/>
      <selection pane="topRight" activeCell="B1" sqref="B1"/>
      <selection pane="bottomLeft" activeCell="A4" sqref="A4"/>
      <selection pane="bottomRight" activeCell="A2" sqref="A2:XFD2"/>
    </sheetView>
  </sheetViews>
  <sheetFormatPr defaultColWidth="8.7109375" defaultRowHeight="15" x14ac:dyDescent="0.25"/>
  <cols>
    <col min="1" max="1" width="4" customWidth="1"/>
    <col min="2" max="2" width="28" customWidth="1"/>
    <col min="3" max="3" width="42" customWidth="1"/>
    <col min="4" max="4" width="32" customWidth="1"/>
    <col min="5" max="6" width="22" customWidth="1"/>
  </cols>
  <sheetData>
    <row r="1" spans="2:6" ht="39.75" customHeight="1" x14ac:dyDescent="0.25">
      <c r="B1" s="3" t="s">
        <v>345</v>
      </c>
      <c r="C1" s="3"/>
      <c r="D1" s="3"/>
      <c r="E1" s="3"/>
      <c r="F1" s="3"/>
    </row>
    <row r="2" spans="2:6" ht="24" customHeight="1" x14ac:dyDescent="0.25">
      <c r="B2" s="2" t="s">
        <v>66</v>
      </c>
      <c r="C2" s="2"/>
      <c r="D2" s="2"/>
      <c r="E2" s="2"/>
      <c r="F2" s="2"/>
    </row>
    <row r="3" spans="2:6" ht="21.75" customHeight="1" x14ac:dyDescent="0.25">
      <c r="B3" s="37" t="s">
        <v>67</v>
      </c>
      <c r="C3" s="1"/>
      <c r="D3" s="1"/>
      <c r="E3" s="1"/>
      <c r="F3" s="1"/>
    </row>
    <row r="4" spans="2:6" ht="21.75" customHeight="1" x14ac:dyDescent="0.25">
      <c r="B4" s="37" t="s">
        <v>330</v>
      </c>
      <c r="C4" s="1"/>
      <c r="D4" s="1"/>
      <c r="E4" s="1"/>
      <c r="F4" s="1"/>
    </row>
    <row r="5" spans="2:6" ht="21.75" customHeight="1" x14ac:dyDescent="0.25">
      <c r="B5" s="37" t="s">
        <v>68</v>
      </c>
      <c r="C5" s="1"/>
      <c r="D5" s="1"/>
      <c r="E5" s="1"/>
      <c r="F5" s="1"/>
    </row>
    <row r="6" spans="2:6" ht="21.75" customHeight="1" x14ac:dyDescent="0.25">
      <c r="B6" s="37" t="s">
        <v>331</v>
      </c>
      <c r="C6" s="41"/>
      <c r="D6" s="41"/>
      <c r="E6" s="41"/>
      <c r="F6" s="41"/>
    </row>
    <row r="7" spans="2:6" ht="21.75" customHeight="1" x14ac:dyDescent="0.25">
      <c r="B7" s="37" t="s">
        <v>69</v>
      </c>
      <c r="C7" s="1"/>
      <c r="D7" s="1"/>
      <c r="E7" s="1"/>
      <c r="F7" s="1"/>
    </row>
    <row r="8" spans="2:6" ht="21.75" customHeight="1" x14ac:dyDescent="0.25">
      <c r="B8" s="37" t="s">
        <v>28</v>
      </c>
      <c r="C8" s="1"/>
      <c r="D8" s="1"/>
      <c r="E8" s="1"/>
      <c r="F8" s="1"/>
    </row>
    <row r="10" spans="2:6" ht="24" customHeight="1" x14ac:dyDescent="0.25">
      <c r="B10" s="2" t="s">
        <v>70</v>
      </c>
      <c r="C10" s="2"/>
      <c r="D10" s="2"/>
      <c r="E10" s="2"/>
      <c r="F10" s="2"/>
    </row>
    <row r="11" spans="2:6" ht="30" customHeight="1" x14ac:dyDescent="0.25">
      <c r="B11" s="31" t="s">
        <v>71</v>
      </c>
      <c r="C11" s="31" t="s">
        <v>72</v>
      </c>
      <c r="D11" s="31" t="s">
        <v>73</v>
      </c>
      <c r="E11" s="31" t="s">
        <v>74</v>
      </c>
      <c r="F11" s="31" t="s">
        <v>75</v>
      </c>
    </row>
    <row r="12" spans="2:6" ht="42" customHeight="1" x14ac:dyDescent="0.25">
      <c r="B12" s="42" t="s">
        <v>76</v>
      </c>
      <c r="C12" s="43" t="s">
        <v>77</v>
      </c>
      <c r="D12" s="43" t="s">
        <v>78</v>
      </c>
      <c r="E12" s="43" t="s">
        <v>79</v>
      </c>
      <c r="F12" s="42" t="s">
        <v>80</v>
      </c>
    </row>
    <row r="13" spans="2:6" ht="42" customHeight="1" x14ac:dyDescent="0.25">
      <c r="B13" s="44" t="s">
        <v>81</v>
      </c>
      <c r="C13" s="45" t="s">
        <v>82</v>
      </c>
      <c r="D13" s="45" t="s">
        <v>83</v>
      </c>
      <c r="E13" s="45" t="s">
        <v>84</v>
      </c>
      <c r="F13" s="44" t="s">
        <v>80</v>
      </c>
    </row>
    <row r="14" spans="2:6" ht="42" customHeight="1" x14ac:dyDescent="0.25">
      <c r="B14" s="42" t="s">
        <v>85</v>
      </c>
      <c r="C14" s="43" t="s">
        <v>86</v>
      </c>
      <c r="D14" s="43" t="s">
        <v>87</v>
      </c>
      <c r="E14" s="43" t="s">
        <v>332</v>
      </c>
      <c r="F14" s="42" t="s">
        <v>88</v>
      </c>
    </row>
    <row r="15" spans="2:6" ht="42" customHeight="1" x14ac:dyDescent="0.25">
      <c r="B15" s="44" t="s">
        <v>89</v>
      </c>
      <c r="C15" s="45" t="s">
        <v>333</v>
      </c>
      <c r="D15" s="45" t="s">
        <v>334</v>
      </c>
      <c r="E15" s="45" t="s">
        <v>90</v>
      </c>
      <c r="F15" s="44" t="s">
        <v>88</v>
      </c>
    </row>
    <row r="16" spans="2:6" ht="42" customHeight="1" x14ac:dyDescent="0.25">
      <c r="B16" s="42" t="s">
        <v>91</v>
      </c>
      <c r="C16" s="43"/>
      <c r="D16" s="43"/>
      <c r="E16" s="43"/>
      <c r="F16" s="42"/>
    </row>
    <row r="18" spans="2:6" ht="24" customHeight="1" x14ac:dyDescent="0.25">
      <c r="B18" s="2" t="s">
        <v>92</v>
      </c>
      <c r="C18" s="2"/>
      <c r="D18" s="2"/>
      <c r="E18" s="2"/>
      <c r="F18" s="2"/>
    </row>
    <row r="19" spans="2:6" ht="15" customHeight="1" x14ac:dyDescent="0.25">
      <c r="B19" s="31" t="s">
        <v>44</v>
      </c>
      <c r="C19" s="31" t="s">
        <v>93</v>
      </c>
      <c r="D19" s="82" t="s">
        <v>94</v>
      </c>
      <c r="E19" s="82"/>
      <c r="F19" s="82"/>
    </row>
    <row r="20" spans="2:6" ht="30" customHeight="1" x14ac:dyDescent="0.25">
      <c r="B20" s="43" t="s">
        <v>95</v>
      </c>
      <c r="C20" s="43" t="s">
        <v>335</v>
      </c>
      <c r="D20" s="1" t="s">
        <v>96</v>
      </c>
      <c r="E20" s="1"/>
      <c r="F20" s="1"/>
    </row>
    <row r="21" spans="2:6" ht="30" customHeight="1" x14ac:dyDescent="0.25">
      <c r="B21" s="45" t="s">
        <v>97</v>
      </c>
      <c r="C21" s="45" t="s">
        <v>98</v>
      </c>
      <c r="D21" s="80" t="s">
        <v>99</v>
      </c>
      <c r="E21" s="80"/>
      <c r="F21" s="80"/>
    </row>
    <row r="22" spans="2:6" ht="30" customHeight="1" x14ac:dyDescent="0.25">
      <c r="B22" s="43" t="s">
        <v>100</v>
      </c>
      <c r="C22" s="43" t="s">
        <v>101</v>
      </c>
      <c r="D22" s="1" t="s">
        <v>102</v>
      </c>
      <c r="E22" s="1"/>
      <c r="F22" s="1"/>
    </row>
    <row r="23" spans="2:6" ht="30" customHeight="1" x14ac:dyDescent="0.25">
      <c r="B23" s="45" t="s">
        <v>103</v>
      </c>
      <c r="C23" s="45" t="s">
        <v>104</v>
      </c>
      <c r="D23" s="80" t="s">
        <v>105</v>
      </c>
      <c r="E23" s="80"/>
      <c r="F23" s="80"/>
    </row>
  </sheetData>
  <mergeCells count="14">
    <mergeCell ref="D19:F19"/>
    <mergeCell ref="D20:F20"/>
    <mergeCell ref="D21:F21"/>
    <mergeCell ref="D22:F22"/>
    <mergeCell ref="D23:F23"/>
    <mergeCell ref="C5:F5"/>
    <mergeCell ref="C7:F7"/>
    <mergeCell ref="C8:F8"/>
    <mergeCell ref="B10:F10"/>
    <mergeCell ref="B18:F18"/>
    <mergeCell ref="B1:F1"/>
    <mergeCell ref="B2:F2"/>
    <mergeCell ref="C3:F3"/>
    <mergeCell ref="C4:F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
  <sheetViews>
    <sheetView showGridLines="0" zoomScaleNormal="100" workbookViewId="0">
      <pane xSplit="1" ySplit="3" topLeftCell="B4" activePane="bottomRight" state="frozen"/>
      <selection pane="topRight" activeCell="B1" sqref="B1"/>
      <selection pane="bottomLeft" activeCell="A4" sqref="A4"/>
      <selection pane="bottomRight" activeCell="A13" sqref="A13:XFD17"/>
    </sheetView>
  </sheetViews>
  <sheetFormatPr defaultColWidth="8.7109375" defaultRowHeight="15" x14ac:dyDescent="0.25"/>
  <cols>
    <col min="1" max="1" width="4" customWidth="1"/>
    <col min="2" max="2" width="6" customWidth="1"/>
    <col min="3" max="3" width="24" customWidth="1"/>
    <col min="4" max="4" width="38" customWidth="1"/>
    <col min="5" max="5" width="28" customWidth="1"/>
    <col min="6" max="6" width="22" customWidth="1"/>
    <col min="7" max="8" width="16" customWidth="1"/>
    <col min="9" max="9" width="26" customWidth="1"/>
  </cols>
  <sheetData>
    <row r="1" spans="2:9" ht="39.75" customHeight="1" x14ac:dyDescent="0.25">
      <c r="B1" s="3" t="s">
        <v>106</v>
      </c>
      <c r="C1" s="3"/>
      <c r="D1" s="3"/>
      <c r="E1" s="3"/>
      <c r="F1" s="3"/>
      <c r="G1" s="3"/>
      <c r="H1" s="3"/>
      <c r="I1" s="3"/>
    </row>
    <row r="2" spans="2:9" ht="21.75" customHeight="1" x14ac:dyDescent="0.25">
      <c r="B2" s="9" t="s">
        <v>107</v>
      </c>
      <c r="C2" s="9"/>
      <c r="D2" s="9"/>
      <c r="E2" s="9"/>
      <c r="F2" s="9"/>
      <c r="G2" s="9"/>
      <c r="H2" s="9"/>
      <c r="I2" s="9"/>
    </row>
    <row r="3" spans="2:9" ht="33.75" customHeight="1" x14ac:dyDescent="0.25">
      <c r="B3" s="31" t="s">
        <v>108</v>
      </c>
      <c r="C3" s="31" t="s">
        <v>109</v>
      </c>
      <c r="D3" s="31" t="s">
        <v>110</v>
      </c>
      <c r="E3" s="31" t="s">
        <v>111</v>
      </c>
      <c r="F3" s="31" t="s">
        <v>336</v>
      </c>
      <c r="G3" s="31" t="s">
        <v>112</v>
      </c>
      <c r="H3" s="31" t="s">
        <v>113</v>
      </c>
      <c r="I3" s="31" t="s">
        <v>114</v>
      </c>
    </row>
    <row r="4" spans="2:9" ht="51.75" customHeight="1" x14ac:dyDescent="0.25">
      <c r="B4" s="42" t="s">
        <v>115</v>
      </c>
      <c r="C4" s="43"/>
      <c r="D4" s="43"/>
      <c r="E4" s="43"/>
      <c r="F4" s="43"/>
      <c r="G4" s="42"/>
      <c r="H4" s="42"/>
      <c r="I4" s="43"/>
    </row>
    <row r="5" spans="2:9" ht="51.75" customHeight="1" x14ac:dyDescent="0.25">
      <c r="B5" s="44" t="s">
        <v>116</v>
      </c>
      <c r="C5" s="45"/>
      <c r="D5" s="45"/>
      <c r="E5" s="45"/>
      <c r="F5" s="45"/>
      <c r="G5" s="44"/>
      <c r="H5" s="44"/>
      <c r="I5" s="45"/>
    </row>
    <row r="6" spans="2:9" ht="51.75" customHeight="1" x14ac:dyDescent="0.25">
      <c r="B6" s="42" t="s">
        <v>117</v>
      </c>
      <c r="C6" s="43"/>
      <c r="D6" s="43"/>
      <c r="E6" s="43"/>
      <c r="F6" s="43"/>
      <c r="G6" s="42"/>
      <c r="H6" s="42"/>
      <c r="I6" s="43"/>
    </row>
    <row r="7" spans="2:9" ht="51.75" customHeight="1" x14ac:dyDescent="0.25">
      <c r="B7" s="44" t="s">
        <v>118</v>
      </c>
      <c r="C7" s="45"/>
      <c r="D7" s="45"/>
      <c r="E7" s="45"/>
      <c r="F7" s="45"/>
      <c r="G7" s="44"/>
      <c r="H7" s="44"/>
      <c r="I7" s="45"/>
    </row>
    <row r="8" spans="2:9" ht="51.75" customHeight="1" x14ac:dyDescent="0.25">
      <c r="B8" s="42" t="s">
        <v>119</v>
      </c>
      <c r="C8" s="43"/>
      <c r="D8" s="43"/>
      <c r="E8" s="43"/>
      <c r="F8" s="43"/>
      <c r="G8" s="42"/>
      <c r="H8" s="42"/>
      <c r="I8" s="43"/>
    </row>
    <row r="9" spans="2:9" ht="51.75" customHeight="1" x14ac:dyDescent="0.25">
      <c r="B9" s="45"/>
      <c r="C9" s="45"/>
      <c r="D9" s="45"/>
      <c r="E9" s="45"/>
      <c r="F9" s="45"/>
      <c r="G9" s="45"/>
      <c r="H9" s="45"/>
      <c r="I9" s="45"/>
    </row>
    <row r="10" spans="2:9" ht="51.75" customHeight="1" x14ac:dyDescent="0.25">
      <c r="B10" s="43"/>
      <c r="C10" s="43"/>
      <c r="D10" s="43"/>
      <c r="E10" s="43"/>
      <c r="F10" s="43"/>
      <c r="G10" s="43"/>
      <c r="H10" s="43"/>
      <c r="I10" s="43"/>
    </row>
    <row r="11" spans="2:9" ht="51.75" customHeight="1" x14ac:dyDescent="0.25">
      <c r="B11" s="45"/>
      <c r="C11" s="45"/>
      <c r="D11" s="45"/>
      <c r="E11" s="45"/>
      <c r="F11" s="45"/>
      <c r="G11" s="45"/>
      <c r="H11" s="45"/>
      <c r="I11" s="45"/>
    </row>
  </sheetData>
  <mergeCells count="2">
    <mergeCell ref="B1:I1"/>
    <mergeCell ref="B2:I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26"/>
  <sheetViews>
    <sheetView showGridLines="0" zoomScaleNormal="100" workbookViewId="0">
      <pane xSplit="1" ySplit="15" topLeftCell="B16" activePane="bottomRight" state="frozen"/>
      <selection pane="topRight" activeCell="B1" sqref="B1"/>
      <selection pane="bottomLeft" activeCell="A16" sqref="A16"/>
      <selection pane="bottomRight" activeCell="C10" sqref="C10:L10"/>
    </sheetView>
  </sheetViews>
  <sheetFormatPr defaultColWidth="8.7109375" defaultRowHeight="15" x14ac:dyDescent="0.25"/>
  <cols>
    <col min="1" max="1" width="4" customWidth="1"/>
    <col min="2" max="2" width="20.7109375" customWidth="1"/>
    <col min="3" max="3" width="20" customWidth="1"/>
    <col min="4" max="4" width="12" customWidth="1"/>
    <col min="5" max="6" width="18" customWidth="1"/>
    <col min="7" max="8" width="14" customWidth="1"/>
    <col min="9" max="10" width="20" customWidth="1"/>
    <col min="11" max="12" width="26" customWidth="1"/>
  </cols>
  <sheetData>
    <row r="1" spans="2:12" ht="39.75" customHeight="1" x14ac:dyDescent="0.25">
      <c r="B1" s="3" t="s">
        <v>120</v>
      </c>
      <c r="C1" s="3"/>
      <c r="D1" s="3"/>
      <c r="E1" s="3"/>
      <c r="F1" s="3"/>
      <c r="G1" s="3"/>
      <c r="H1" s="3"/>
      <c r="I1" s="3"/>
      <c r="J1" s="3"/>
      <c r="K1" s="3"/>
      <c r="L1" s="3"/>
    </row>
    <row r="2" spans="2:12" ht="21.75" customHeight="1" x14ac:dyDescent="0.25">
      <c r="B2" s="9" t="s">
        <v>121</v>
      </c>
      <c r="C2" s="9"/>
      <c r="D2" s="9"/>
      <c r="E2" s="9"/>
      <c r="F2" s="9"/>
      <c r="G2" s="9"/>
      <c r="H2" s="9"/>
      <c r="I2" s="9"/>
      <c r="J2" s="9"/>
      <c r="K2" s="9"/>
      <c r="L2" s="9"/>
    </row>
    <row r="3" spans="2:12" ht="24" customHeight="1" x14ac:dyDescent="0.25">
      <c r="B3" s="2" t="s">
        <v>122</v>
      </c>
      <c r="C3" s="2"/>
      <c r="D3" s="2"/>
      <c r="E3" s="2"/>
      <c r="F3" s="2"/>
      <c r="G3" s="2"/>
      <c r="H3" s="2"/>
      <c r="I3" s="2"/>
      <c r="J3" s="2"/>
      <c r="K3" s="2"/>
      <c r="L3" s="2"/>
    </row>
    <row r="4" spans="2:12" ht="24" customHeight="1" x14ac:dyDescent="0.25">
      <c r="B4" s="37" t="s">
        <v>123</v>
      </c>
      <c r="C4" s="1"/>
      <c r="D4" s="1"/>
      <c r="E4" s="1"/>
      <c r="F4" s="1"/>
      <c r="G4" s="1"/>
      <c r="H4" s="1"/>
      <c r="I4" s="1"/>
      <c r="J4" s="1"/>
      <c r="K4" s="1"/>
      <c r="L4" s="1"/>
    </row>
    <row r="5" spans="2:12" ht="24" customHeight="1" x14ac:dyDescent="0.25">
      <c r="B5" s="37" t="s">
        <v>124</v>
      </c>
      <c r="C5" s="80"/>
      <c r="D5" s="80"/>
      <c r="E5" s="80"/>
      <c r="F5" s="80"/>
      <c r="G5" s="80"/>
      <c r="H5" s="80"/>
      <c r="I5" s="80"/>
      <c r="J5" s="80"/>
      <c r="K5" s="80"/>
      <c r="L5" s="80"/>
    </row>
    <row r="6" spans="2:12" ht="24" customHeight="1" x14ac:dyDescent="0.25">
      <c r="B6" s="37" t="s">
        <v>125</v>
      </c>
      <c r="C6" s="1"/>
      <c r="D6" s="1"/>
      <c r="E6" s="1"/>
      <c r="F6" s="1"/>
      <c r="G6" s="1"/>
      <c r="H6" s="1"/>
      <c r="I6" s="1"/>
      <c r="J6" s="1"/>
      <c r="K6" s="1"/>
      <c r="L6" s="1"/>
    </row>
    <row r="7" spans="2:12" ht="24" customHeight="1" x14ac:dyDescent="0.25">
      <c r="B7" s="37" t="s">
        <v>126</v>
      </c>
      <c r="C7" s="80"/>
      <c r="D7" s="80"/>
      <c r="E7" s="80"/>
      <c r="F7" s="80"/>
      <c r="G7" s="80"/>
      <c r="H7" s="80"/>
      <c r="I7" s="80"/>
      <c r="J7" s="80"/>
      <c r="K7" s="80"/>
      <c r="L7" s="80"/>
    </row>
    <row r="8" spans="2:12" ht="24" customHeight="1" x14ac:dyDescent="0.25">
      <c r="B8" s="37" t="s">
        <v>127</v>
      </c>
      <c r="C8" s="1"/>
      <c r="D8" s="1"/>
      <c r="E8" s="1"/>
      <c r="F8" s="1"/>
      <c r="G8" s="1"/>
      <c r="H8" s="1"/>
      <c r="I8" s="1"/>
      <c r="J8" s="1"/>
      <c r="K8" s="1"/>
      <c r="L8" s="1"/>
    </row>
    <row r="9" spans="2:12" ht="24" customHeight="1" x14ac:dyDescent="0.25">
      <c r="B9" s="37" t="s">
        <v>128</v>
      </c>
      <c r="C9" s="80"/>
      <c r="D9" s="80"/>
      <c r="E9" s="80"/>
      <c r="F9" s="80"/>
      <c r="G9" s="80"/>
      <c r="H9" s="80"/>
      <c r="I9" s="80"/>
      <c r="J9" s="80"/>
      <c r="K9" s="80"/>
      <c r="L9" s="80"/>
    </row>
    <row r="10" spans="2:12" ht="24" customHeight="1" x14ac:dyDescent="0.25">
      <c r="B10" s="37" t="s">
        <v>129</v>
      </c>
      <c r="C10" s="1"/>
      <c r="D10" s="1"/>
      <c r="E10" s="1"/>
      <c r="F10" s="1"/>
      <c r="G10" s="1"/>
      <c r="H10" s="1"/>
      <c r="I10" s="1"/>
      <c r="J10" s="1"/>
      <c r="K10" s="1"/>
      <c r="L10" s="1"/>
    </row>
    <row r="11" spans="2:12" ht="24" customHeight="1" x14ac:dyDescent="0.25">
      <c r="B11" s="37" t="s">
        <v>130</v>
      </c>
      <c r="C11" s="80"/>
      <c r="D11" s="80"/>
      <c r="E11" s="80"/>
      <c r="F11" s="80"/>
      <c r="G11" s="80"/>
      <c r="H11" s="80"/>
      <c r="I11" s="80"/>
      <c r="J11" s="80"/>
      <c r="K11" s="80"/>
      <c r="L11" s="80"/>
    </row>
    <row r="12" spans="2:12" ht="24" customHeight="1" x14ac:dyDescent="0.25">
      <c r="B12" s="37" t="s">
        <v>131</v>
      </c>
      <c r="C12" s="1"/>
      <c r="D12" s="1"/>
      <c r="E12" s="1"/>
      <c r="F12" s="1"/>
      <c r="G12" s="1"/>
      <c r="H12" s="1"/>
      <c r="I12" s="1"/>
      <c r="J12" s="1"/>
      <c r="K12" s="1"/>
      <c r="L12" s="1"/>
    </row>
    <row r="14" spans="2:12" ht="24" customHeight="1" x14ac:dyDescent="0.25">
      <c r="B14" s="2" t="s">
        <v>132</v>
      </c>
      <c r="C14" s="2"/>
      <c r="D14" s="2"/>
      <c r="E14" s="2"/>
      <c r="F14" s="2"/>
      <c r="G14" s="2"/>
      <c r="H14" s="2"/>
      <c r="I14" s="2"/>
      <c r="J14" s="2"/>
      <c r="K14" s="2"/>
      <c r="L14" s="2"/>
    </row>
    <row r="15" spans="2:12" ht="30" customHeight="1" x14ac:dyDescent="0.25">
      <c r="B15" s="31" t="s">
        <v>133</v>
      </c>
      <c r="C15" s="31" t="s">
        <v>134</v>
      </c>
      <c r="D15" s="31" t="s">
        <v>135</v>
      </c>
      <c r="E15" s="31" t="s">
        <v>136</v>
      </c>
      <c r="F15" s="31" t="s">
        <v>137</v>
      </c>
      <c r="G15" s="31" t="s">
        <v>138</v>
      </c>
      <c r="H15" s="31" t="s">
        <v>127</v>
      </c>
      <c r="I15" s="31" t="s">
        <v>125</v>
      </c>
      <c r="J15" s="31" t="s">
        <v>139</v>
      </c>
      <c r="K15" s="31" t="s">
        <v>140</v>
      </c>
      <c r="L15" s="31" t="s">
        <v>141</v>
      </c>
    </row>
    <row r="16" spans="2:12" ht="21.75" customHeight="1" x14ac:dyDescent="0.25">
      <c r="B16" s="42" t="s">
        <v>142</v>
      </c>
      <c r="C16" s="43"/>
      <c r="D16" s="43"/>
      <c r="E16" s="43"/>
      <c r="F16" s="43"/>
      <c r="G16" s="43"/>
      <c r="H16" s="43"/>
      <c r="I16" s="43"/>
      <c r="J16" s="43"/>
      <c r="K16" s="43"/>
      <c r="L16" s="43"/>
    </row>
    <row r="17" spans="2:12" ht="21.75" customHeight="1" x14ac:dyDescent="0.25">
      <c r="B17" s="44" t="s">
        <v>143</v>
      </c>
      <c r="C17" s="45"/>
      <c r="D17" s="45"/>
      <c r="E17" s="45"/>
      <c r="F17" s="45"/>
      <c r="G17" s="45"/>
      <c r="H17" s="45"/>
      <c r="I17" s="45"/>
      <c r="J17" s="45"/>
      <c r="K17" s="45"/>
      <c r="L17" s="45"/>
    </row>
    <row r="18" spans="2:12" ht="21.75" customHeight="1" x14ac:dyDescent="0.25">
      <c r="B18" s="42" t="s">
        <v>144</v>
      </c>
      <c r="C18" s="43"/>
      <c r="D18" s="43"/>
      <c r="E18" s="43"/>
      <c r="F18" s="43"/>
      <c r="G18" s="43"/>
      <c r="H18" s="43"/>
      <c r="I18" s="43"/>
      <c r="J18" s="43"/>
      <c r="K18" s="43"/>
      <c r="L18" s="43"/>
    </row>
    <row r="19" spans="2:12" ht="21.75" customHeight="1" x14ac:dyDescent="0.25">
      <c r="B19" s="44" t="s">
        <v>145</v>
      </c>
      <c r="C19" s="45"/>
      <c r="D19" s="45"/>
      <c r="E19" s="45"/>
      <c r="F19" s="45"/>
      <c r="G19" s="45"/>
      <c r="H19" s="45"/>
      <c r="I19" s="45"/>
      <c r="J19" s="45"/>
      <c r="K19" s="45"/>
      <c r="L19" s="45"/>
    </row>
    <row r="20" spans="2:12" ht="21.75" customHeight="1" x14ac:dyDescent="0.25">
      <c r="B20" s="42" t="s">
        <v>146</v>
      </c>
      <c r="C20" s="43"/>
      <c r="D20" s="43"/>
      <c r="E20" s="43"/>
      <c r="F20" s="43"/>
      <c r="G20" s="43"/>
      <c r="H20" s="43"/>
      <c r="I20" s="43"/>
      <c r="J20" s="43"/>
      <c r="K20" s="43"/>
      <c r="L20" s="43"/>
    </row>
    <row r="21" spans="2:12" ht="21.75" customHeight="1" x14ac:dyDescent="0.25">
      <c r="B21" s="44" t="s">
        <v>147</v>
      </c>
      <c r="C21" s="45"/>
      <c r="D21" s="45"/>
      <c r="E21" s="45"/>
      <c r="F21" s="45"/>
      <c r="G21" s="45"/>
      <c r="H21" s="45"/>
      <c r="I21" s="45"/>
      <c r="J21" s="45"/>
      <c r="K21" s="45"/>
      <c r="L21" s="45"/>
    </row>
    <row r="22" spans="2:12" ht="21.75" customHeight="1" x14ac:dyDescent="0.25">
      <c r="B22" s="42" t="s">
        <v>148</v>
      </c>
      <c r="C22" s="43"/>
      <c r="D22" s="43"/>
      <c r="E22" s="43"/>
      <c r="F22" s="43"/>
      <c r="G22" s="43"/>
      <c r="H22" s="43"/>
      <c r="I22" s="43"/>
      <c r="J22" s="43"/>
      <c r="K22" s="43"/>
      <c r="L22" s="43"/>
    </row>
    <row r="23" spans="2:12" ht="21.75" customHeight="1" x14ac:dyDescent="0.25">
      <c r="B23" s="44" t="s">
        <v>149</v>
      </c>
      <c r="C23" s="45"/>
      <c r="D23" s="45"/>
      <c r="E23" s="45"/>
      <c r="F23" s="45"/>
      <c r="G23" s="45"/>
      <c r="H23" s="45"/>
      <c r="I23" s="45"/>
      <c r="J23" s="45"/>
      <c r="K23" s="45"/>
      <c r="L23" s="45"/>
    </row>
    <row r="24" spans="2:12" ht="21.75" customHeight="1" x14ac:dyDescent="0.25">
      <c r="B24" s="42" t="s">
        <v>150</v>
      </c>
      <c r="C24" s="43"/>
      <c r="D24" s="43"/>
      <c r="E24" s="43"/>
      <c r="F24" s="43"/>
      <c r="G24" s="43"/>
      <c r="H24" s="43"/>
      <c r="I24" s="43"/>
      <c r="J24" s="43"/>
      <c r="K24" s="43"/>
      <c r="L24" s="43"/>
    </row>
    <row r="25" spans="2:12" ht="21.75" customHeight="1" x14ac:dyDescent="0.25">
      <c r="B25" s="44" t="s">
        <v>151</v>
      </c>
      <c r="C25" s="45"/>
      <c r="D25" s="45"/>
      <c r="E25" s="45"/>
      <c r="F25" s="45"/>
      <c r="G25" s="45"/>
      <c r="H25" s="45"/>
      <c r="I25" s="45"/>
      <c r="J25" s="45"/>
      <c r="K25" s="45"/>
      <c r="L25" s="45"/>
    </row>
    <row r="26" spans="2:12" ht="21.75" customHeight="1" x14ac:dyDescent="0.25">
      <c r="B26" s="42" t="s">
        <v>152</v>
      </c>
      <c r="C26" s="43"/>
      <c r="D26" s="43"/>
      <c r="E26" s="43"/>
      <c r="F26" s="43"/>
      <c r="G26" s="43"/>
      <c r="H26" s="43"/>
      <c r="I26" s="43"/>
      <c r="J26" s="43"/>
      <c r="K26" s="43"/>
      <c r="L26" s="43"/>
    </row>
  </sheetData>
  <mergeCells count="13">
    <mergeCell ref="C11:L11"/>
    <mergeCell ref="C12:L12"/>
    <mergeCell ref="B14:L14"/>
    <mergeCell ref="C6:L6"/>
    <mergeCell ref="C7:L7"/>
    <mergeCell ref="C8:L8"/>
    <mergeCell ref="C9:L9"/>
    <mergeCell ref="C10:L10"/>
    <mergeCell ref="B1:L1"/>
    <mergeCell ref="B2:L2"/>
    <mergeCell ref="B3:L3"/>
    <mergeCell ref="C4:L4"/>
    <mergeCell ref="C5:L5"/>
  </mergeCells>
  <dataValidations count="4">
    <dataValidation type="list" allowBlank="1" sqref="E16:E26" xr:uid="{00000000-0002-0000-0400-000000000000}">
      <formula1>"Canada,United States,United Kingdom,Australia,Germany,France,Other"</formula1>
      <formula2>0</formula2>
    </dataValidation>
    <dataValidation type="list" allowBlank="1" sqref="F16:F26" xr:uid="{00000000-0002-0000-0400-000001000000}">
      <formula1>"Desktop,Laptop,Tablet,Smartphone (iOS),Smartphone (Android),Other"</formula1>
      <formula2>0</formula2>
    </dataValidation>
    <dataValidation type="list" allowBlank="1" sqref="G16:G26" xr:uid="{00000000-0002-0000-0400-000002000000}">
      <formula1>"Windows,macOS,iOS,Android,Linux,Other"</formula1>
      <formula2>0</formula2>
    </dataValidation>
    <dataValidation type="list" allowBlank="1" sqref="I16:I26" xr:uid="{00000000-0002-0000-0400-000003000000}">
      <formula1>"Low,Medium,High"</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5"/>
  <sheetViews>
    <sheetView showGridLines="0" zoomScaleNormal="100" workbookViewId="0">
      <pane xSplit="1" ySplit="4" topLeftCell="B16" activePane="bottomRight" state="frozen"/>
      <selection pane="topRight" activeCell="C1" sqref="C1"/>
      <selection pane="bottomLeft" activeCell="A5" sqref="A5"/>
      <selection pane="bottomRight" activeCell="C16" sqref="C16"/>
    </sheetView>
  </sheetViews>
  <sheetFormatPr defaultColWidth="8.7109375" defaultRowHeight="15" x14ac:dyDescent="0.25"/>
  <cols>
    <col min="1" max="1" width="8" customWidth="1"/>
    <col min="2" max="2" width="12" customWidth="1"/>
    <col min="3" max="3" width="16" customWidth="1"/>
    <col min="4" max="4" width="30" customWidth="1"/>
    <col min="5" max="5" width="12" customWidth="1"/>
    <col min="6" max="6" width="16" customWidth="1"/>
    <col min="7" max="7" width="30" customWidth="1"/>
    <col min="8" max="8" width="12" customWidth="1"/>
    <col min="9" max="9" width="16" customWidth="1"/>
    <col min="10" max="10" width="30" customWidth="1"/>
    <col min="11" max="11" width="12" customWidth="1"/>
    <col min="12" max="12" width="16" customWidth="1"/>
    <col min="13" max="13" width="30" customWidth="1"/>
    <col min="14" max="14" width="12" customWidth="1"/>
    <col min="15" max="15" width="16" customWidth="1"/>
    <col min="16" max="16" width="30" customWidth="1"/>
  </cols>
  <sheetData>
    <row r="1" spans="1:16" ht="39.75" customHeight="1" x14ac:dyDescent="0.25">
      <c r="A1" s="3" t="s">
        <v>153</v>
      </c>
      <c r="B1" s="3"/>
      <c r="C1" s="3"/>
      <c r="D1" s="3"/>
      <c r="E1" s="3"/>
      <c r="F1" s="3"/>
      <c r="G1" s="3"/>
      <c r="H1" s="3"/>
      <c r="I1" s="3"/>
      <c r="J1" s="3"/>
      <c r="K1" s="3"/>
      <c r="L1" s="3"/>
      <c r="M1" s="3"/>
      <c r="N1" s="3"/>
      <c r="O1" s="3"/>
      <c r="P1" s="3"/>
    </row>
    <row r="2" spans="1:16" ht="21.75" customHeight="1" x14ac:dyDescent="0.25">
      <c r="A2" s="9" t="s">
        <v>154</v>
      </c>
      <c r="B2" s="9"/>
      <c r="C2" s="9"/>
      <c r="D2" s="9"/>
      <c r="E2" s="9"/>
      <c r="F2" s="9"/>
      <c r="G2" s="9"/>
      <c r="H2" s="9"/>
      <c r="I2" s="9"/>
      <c r="J2" s="9"/>
      <c r="K2" s="9"/>
      <c r="L2" s="9"/>
      <c r="M2" s="9"/>
      <c r="N2" s="9"/>
      <c r="O2" s="9"/>
      <c r="P2" s="9"/>
    </row>
    <row r="3" spans="1:16" ht="25.5" customHeight="1" x14ac:dyDescent="0.25">
      <c r="A3" s="46"/>
      <c r="B3" s="83" t="s">
        <v>155</v>
      </c>
      <c r="C3" s="83"/>
      <c r="D3" s="83"/>
      <c r="E3" s="84" t="s">
        <v>156</v>
      </c>
      <c r="F3" s="84"/>
      <c r="G3" s="84"/>
      <c r="H3" s="85" t="s">
        <v>157</v>
      </c>
      <c r="I3" s="85"/>
      <c r="J3" s="85"/>
      <c r="K3" s="86" t="s">
        <v>158</v>
      </c>
      <c r="L3" s="86"/>
      <c r="M3" s="86"/>
      <c r="N3" s="87" t="s">
        <v>159</v>
      </c>
      <c r="O3" s="87"/>
      <c r="P3" s="87"/>
    </row>
    <row r="4" spans="1:16" ht="30" customHeight="1" x14ac:dyDescent="0.25">
      <c r="A4" s="47" t="s">
        <v>133</v>
      </c>
      <c r="B4" s="32" t="s">
        <v>160</v>
      </c>
      <c r="C4" s="32" t="s">
        <v>161</v>
      </c>
      <c r="D4" s="32" t="s">
        <v>162</v>
      </c>
      <c r="E4" s="33" t="s">
        <v>160</v>
      </c>
      <c r="F4" s="33" t="s">
        <v>161</v>
      </c>
      <c r="G4" s="33" t="s">
        <v>162</v>
      </c>
      <c r="H4" s="34" t="s">
        <v>160</v>
      </c>
      <c r="I4" s="34" t="s">
        <v>161</v>
      </c>
      <c r="J4" s="34" t="s">
        <v>162</v>
      </c>
      <c r="K4" s="35" t="s">
        <v>160</v>
      </c>
      <c r="L4" s="35" t="s">
        <v>161</v>
      </c>
      <c r="M4" s="35" t="s">
        <v>162</v>
      </c>
      <c r="N4" s="36" t="s">
        <v>160</v>
      </c>
      <c r="O4" s="36" t="s">
        <v>161</v>
      </c>
      <c r="P4" s="36" t="s">
        <v>162</v>
      </c>
    </row>
    <row r="5" spans="1:16" ht="51.75" customHeight="1" x14ac:dyDescent="0.25">
      <c r="A5" s="42" t="s">
        <v>142</v>
      </c>
      <c r="B5" s="42"/>
      <c r="C5" s="42"/>
      <c r="D5" s="43"/>
      <c r="E5" s="42"/>
      <c r="F5" s="42"/>
      <c r="G5" s="43"/>
      <c r="H5" s="42"/>
      <c r="I5" s="42"/>
      <c r="J5" s="43"/>
      <c r="K5" s="42"/>
      <c r="L5" s="42"/>
      <c r="M5" s="43"/>
      <c r="N5" s="42"/>
      <c r="O5" s="42"/>
      <c r="P5" s="43"/>
    </row>
    <row r="6" spans="1:16" ht="51.75" customHeight="1" x14ac:dyDescent="0.25">
      <c r="A6" s="44" t="s">
        <v>143</v>
      </c>
      <c r="B6" s="44"/>
      <c r="C6" s="44"/>
      <c r="D6" s="45"/>
      <c r="E6" s="44"/>
      <c r="F6" s="44"/>
      <c r="G6" s="45"/>
      <c r="H6" s="44"/>
      <c r="I6" s="44"/>
      <c r="J6" s="45"/>
      <c r="K6" s="44"/>
      <c r="L6" s="44"/>
      <c r="M6" s="45"/>
      <c r="N6" s="44"/>
      <c r="O6" s="44"/>
      <c r="P6" s="45"/>
    </row>
    <row r="7" spans="1:16" ht="51.75" customHeight="1" x14ac:dyDescent="0.25">
      <c r="A7" s="42" t="s">
        <v>144</v>
      </c>
      <c r="B7" s="42"/>
      <c r="C7" s="42"/>
      <c r="D7" s="43"/>
      <c r="E7" s="42"/>
      <c r="F7" s="42"/>
      <c r="G7" s="43"/>
      <c r="H7" s="42"/>
      <c r="I7" s="42"/>
      <c r="J7" s="43"/>
      <c r="K7" s="42"/>
      <c r="L7" s="42"/>
      <c r="M7" s="43"/>
      <c r="N7" s="42"/>
      <c r="O7" s="42"/>
      <c r="P7" s="43"/>
    </row>
    <row r="8" spans="1:16" ht="51.75" customHeight="1" x14ac:dyDescent="0.25">
      <c r="A8" s="44" t="s">
        <v>145</v>
      </c>
      <c r="B8" s="44"/>
      <c r="C8" s="44"/>
      <c r="D8" s="45"/>
      <c r="E8" s="44"/>
      <c r="F8" s="44"/>
      <c r="G8" s="45"/>
      <c r="H8" s="44"/>
      <c r="I8" s="44"/>
      <c r="J8" s="45"/>
      <c r="K8" s="44"/>
      <c r="L8" s="44"/>
      <c r="M8" s="45"/>
      <c r="N8" s="44"/>
      <c r="O8" s="44"/>
      <c r="P8" s="45"/>
    </row>
    <row r="9" spans="1:16" ht="51.75" customHeight="1" x14ac:dyDescent="0.25">
      <c r="A9" s="42" t="s">
        <v>146</v>
      </c>
      <c r="B9" s="42"/>
      <c r="C9" s="42"/>
      <c r="D9" s="43"/>
      <c r="E9" s="42"/>
      <c r="F9" s="42"/>
      <c r="G9" s="43"/>
      <c r="H9" s="42"/>
      <c r="I9" s="42"/>
      <c r="J9" s="43"/>
      <c r="K9" s="42"/>
      <c r="L9" s="42"/>
      <c r="M9" s="43"/>
      <c r="N9" s="42"/>
      <c r="O9" s="42"/>
      <c r="P9" s="43"/>
    </row>
    <row r="10" spans="1:16" ht="51.75" customHeight="1" x14ac:dyDescent="0.25">
      <c r="A10" s="44" t="s">
        <v>147</v>
      </c>
      <c r="B10" s="44"/>
      <c r="C10" s="44"/>
      <c r="D10" s="45"/>
      <c r="E10" s="44"/>
      <c r="F10" s="44"/>
      <c r="G10" s="45"/>
      <c r="H10" s="44"/>
      <c r="I10" s="44"/>
      <c r="J10" s="45"/>
      <c r="K10" s="44"/>
      <c r="L10" s="44"/>
      <c r="M10" s="45"/>
      <c r="N10" s="44"/>
      <c r="O10" s="44"/>
      <c r="P10" s="45"/>
    </row>
    <row r="11" spans="1:16" ht="51.75" customHeight="1" x14ac:dyDescent="0.25">
      <c r="A11" s="42" t="s">
        <v>148</v>
      </c>
      <c r="B11" s="42"/>
      <c r="C11" s="42"/>
      <c r="D11" s="43"/>
      <c r="E11" s="42"/>
      <c r="F11" s="42"/>
      <c r="G11" s="43"/>
      <c r="H11" s="42"/>
      <c r="I11" s="42"/>
      <c r="J11" s="43"/>
      <c r="K11" s="42"/>
      <c r="L11" s="42"/>
      <c r="M11" s="43"/>
      <c r="N11" s="42"/>
      <c r="O11" s="42"/>
      <c r="P11" s="43"/>
    </row>
    <row r="12" spans="1:16" ht="51.75" customHeight="1" x14ac:dyDescent="0.25">
      <c r="A12" s="44" t="s">
        <v>149</v>
      </c>
      <c r="B12" s="44"/>
      <c r="C12" s="44"/>
      <c r="D12" s="45"/>
      <c r="E12" s="44"/>
      <c r="F12" s="44"/>
      <c r="G12" s="45"/>
      <c r="H12" s="44"/>
      <c r="I12" s="44"/>
      <c r="J12" s="45"/>
      <c r="K12" s="44"/>
      <c r="L12" s="44"/>
      <c r="M12" s="45"/>
      <c r="N12" s="44"/>
      <c r="O12" s="44"/>
      <c r="P12" s="45"/>
    </row>
    <row r="13" spans="1:16" ht="51.75" customHeight="1" x14ac:dyDescent="0.25">
      <c r="A13" s="42" t="s">
        <v>150</v>
      </c>
      <c r="B13" s="42"/>
      <c r="C13" s="42"/>
      <c r="D13" s="43"/>
      <c r="E13" s="42"/>
      <c r="F13" s="42"/>
      <c r="G13" s="43"/>
      <c r="H13" s="42"/>
      <c r="I13" s="42"/>
      <c r="J13" s="43"/>
      <c r="K13" s="42"/>
      <c r="L13" s="42"/>
      <c r="M13" s="43"/>
      <c r="N13" s="42"/>
      <c r="O13" s="42"/>
      <c r="P13" s="43"/>
    </row>
    <row r="14" spans="1:16" ht="51.75" customHeight="1" x14ac:dyDescent="0.25">
      <c r="A14" s="44" t="s">
        <v>151</v>
      </c>
      <c r="B14" s="44"/>
      <c r="C14" s="44"/>
      <c r="D14" s="45"/>
      <c r="E14" s="44"/>
      <c r="F14" s="44"/>
      <c r="G14" s="45"/>
      <c r="H14" s="44"/>
      <c r="I14" s="44"/>
      <c r="J14" s="45"/>
      <c r="K14" s="44"/>
      <c r="L14" s="44"/>
      <c r="M14" s="45"/>
      <c r="N14" s="44"/>
      <c r="O14" s="44"/>
      <c r="P14" s="45"/>
    </row>
    <row r="15" spans="1:16" ht="51.75" customHeight="1" x14ac:dyDescent="0.25">
      <c r="A15" s="42" t="s">
        <v>152</v>
      </c>
      <c r="B15" s="42"/>
      <c r="C15" s="42"/>
      <c r="D15" s="43"/>
      <c r="E15" s="42"/>
      <c r="F15" s="42"/>
      <c r="G15" s="43"/>
      <c r="H15" s="42"/>
      <c r="I15" s="42"/>
      <c r="J15" s="43"/>
      <c r="K15" s="42"/>
      <c r="L15" s="42"/>
      <c r="M15" s="43"/>
      <c r="N15" s="42"/>
      <c r="O15" s="42"/>
      <c r="P15" s="43"/>
    </row>
    <row r="16" spans="1:16" ht="51.75" customHeight="1" x14ac:dyDescent="0.25">
      <c r="A16" s="44" t="s">
        <v>348</v>
      </c>
      <c r="B16" s="44"/>
      <c r="C16" s="44"/>
      <c r="D16" s="45"/>
      <c r="E16" s="44"/>
      <c r="F16" s="44"/>
      <c r="G16" s="45"/>
      <c r="H16" s="44"/>
      <c r="I16" s="44"/>
      <c r="J16" s="45"/>
      <c r="K16" s="44"/>
      <c r="L16" s="44"/>
      <c r="M16" s="45"/>
      <c r="N16" s="44"/>
      <c r="O16" s="44"/>
      <c r="P16" s="45"/>
    </row>
    <row r="17" spans="1:16" ht="51.75" customHeight="1" x14ac:dyDescent="0.25">
      <c r="A17" s="42" t="s">
        <v>349</v>
      </c>
      <c r="B17" s="42"/>
      <c r="C17" s="42"/>
      <c r="D17" s="43"/>
      <c r="E17" s="42"/>
      <c r="F17" s="42"/>
      <c r="G17" s="43"/>
      <c r="H17" s="42"/>
      <c r="I17" s="42"/>
      <c r="J17" s="43"/>
      <c r="K17" s="42"/>
      <c r="L17" s="42"/>
      <c r="M17" s="43"/>
      <c r="N17" s="42"/>
      <c r="O17" s="42"/>
      <c r="P17" s="43"/>
    </row>
    <row r="18" spans="1:16" ht="51.75" customHeight="1" x14ac:dyDescent="0.25">
      <c r="A18" s="44" t="s">
        <v>350</v>
      </c>
      <c r="B18" s="44"/>
      <c r="C18" s="44"/>
      <c r="D18" s="45"/>
      <c r="E18" s="44"/>
      <c r="F18" s="44"/>
      <c r="G18" s="45"/>
      <c r="H18" s="44"/>
      <c r="I18" s="44"/>
      <c r="J18" s="45"/>
      <c r="K18" s="44"/>
      <c r="L18" s="44"/>
      <c r="M18" s="45"/>
      <c r="N18" s="44"/>
      <c r="O18" s="44"/>
      <c r="P18" s="45"/>
    </row>
    <row r="19" spans="1:16" ht="51.75" customHeight="1" x14ac:dyDescent="0.25">
      <c r="A19" s="42" t="s">
        <v>351</v>
      </c>
      <c r="B19" s="42"/>
      <c r="C19" s="42"/>
      <c r="D19" s="43"/>
      <c r="E19" s="42"/>
      <c r="F19" s="42"/>
      <c r="G19" s="43"/>
      <c r="H19" s="42"/>
      <c r="I19" s="42"/>
      <c r="J19" s="43"/>
      <c r="K19" s="42"/>
      <c r="L19" s="42"/>
      <c r="M19" s="43"/>
      <c r="N19" s="42"/>
      <c r="O19" s="42"/>
      <c r="P19" s="43"/>
    </row>
    <row r="21" spans="1:16" ht="24" customHeight="1" x14ac:dyDescent="0.25">
      <c r="A21" s="2" t="s">
        <v>163</v>
      </c>
      <c r="B21" s="2"/>
      <c r="C21" s="2"/>
      <c r="D21" s="2"/>
      <c r="E21" s="2"/>
      <c r="F21" s="2"/>
      <c r="G21" s="2"/>
      <c r="H21" s="2"/>
      <c r="I21" s="2"/>
      <c r="J21" s="2"/>
      <c r="K21" s="2"/>
      <c r="L21" s="2"/>
      <c r="M21" s="2"/>
      <c r="N21" s="2"/>
      <c r="O21" s="2"/>
      <c r="P21" s="2"/>
    </row>
    <row r="22" spans="1:16" ht="48" customHeight="1" x14ac:dyDescent="0.25">
      <c r="A22" s="48" t="s">
        <v>50</v>
      </c>
      <c r="B22" s="88" t="s">
        <v>164</v>
      </c>
      <c r="C22" s="88"/>
      <c r="E22" s="49" t="s">
        <v>165</v>
      </c>
      <c r="F22" s="88" t="s">
        <v>166</v>
      </c>
      <c r="G22" s="88"/>
    </row>
    <row r="23" spans="1:16" ht="63.75" customHeight="1" x14ac:dyDescent="0.25">
      <c r="A23" s="50" t="s">
        <v>51</v>
      </c>
      <c r="B23" s="89" t="s">
        <v>167</v>
      </c>
      <c r="C23" s="89"/>
      <c r="E23" s="51" t="s">
        <v>168</v>
      </c>
      <c r="F23" s="89" t="s">
        <v>169</v>
      </c>
      <c r="G23" s="89"/>
    </row>
    <row r="24" spans="1:16" ht="35.25" customHeight="1" x14ac:dyDescent="0.25">
      <c r="A24" s="52" t="s">
        <v>52</v>
      </c>
      <c r="B24" s="88" t="s">
        <v>170</v>
      </c>
      <c r="C24" s="88"/>
      <c r="E24" s="53" t="s">
        <v>53</v>
      </c>
      <c r="F24" s="88" t="s">
        <v>171</v>
      </c>
      <c r="G24" s="88"/>
    </row>
    <row r="25" spans="1:16" ht="40.5" customHeight="1" x14ac:dyDescent="0.25">
      <c r="A25" s="54" t="s">
        <v>54</v>
      </c>
      <c r="B25" s="89" t="s">
        <v>172</v>
      </c>
      <c r="C25" s="89"/>
    </row>
  </sheetData>
  <mergeCells count="15">
    <mergeCell ref="B24:C24"/>
    <mergeCell ref="F24:G24"/>
    <mergeCell ref="B25:C25"/>
    <mergeCell ref="A21:P21"/>
    <mergeCell ref="B22:C22"/>
    <mergeCell ref="F22:G22"/>
    <mergeCell ref="B23:C23"/>
    <mergeCell ref="F23:G23"/>
    <mergeCell ref="A1:P1"/>
    <mergeCell ref="A2:P2"/>
    <mergeCell ref="B3:D3"/>
    <mergeCell ref="E3:G3"/>
    <mergeCell ref="H3:J3"/>
    <mergeCell ref="K3:M3"/>
    <mergeCell ref="N3:P3"/>
  </mergeCells>
  <conditionalFormatting sqref="C5:C19">
    <cfRule type="expression" dxfId="34" priority="2">
      <formula>C5="Success"</formula>
    </cfRule>
    <cfRule type="expression" dxfId="33" priority="3">
      <formula>C5="Partial Fail"</formula>
    </cfRule>
    <cfRule type="expression" dxfId="32" priority="4">
      <formula>C5="Fail"</formula>
    </cfRule>
    <cfRule type="expression" dxfId="31" priority="5">
      <formula>C5="Time Limit"</formula>
    </cfRule>
    <cfRule type="expression" dxfId="30" priority="6">
      <formula>C5="Give Up"</formula>
    </cfRule>
    <cfRule type="expression" dxfId="29" priority="7">
      <formula>C5="Technical Issues"</formula>
    </cfRule>
    <cfRule type="expression" dxfId="28" priority="8">
      <formula>C5="Other"</formula>
    </cfRule>
  </conditionalFormatting>
  <conditionalFormatting sqref="F5:F19">
    <cfRule type="expression" dxfId="27" priority="9">
      <formula>F5="Success"</formula>
    </cfRule>
    <cfRule type="expression" dxfId="26" priority="10">
      <formula>F5="Partial Fail"</formula>
    </cfRule>
    <cfRule type="expression" dxfId="25" priority="11">
      <formula>F5="Fail"</formula>
    </cfRule>
    <cfRule type="expression" dxfId="24" priority="12">
      <formula>F5="Time Limit"</formula>
    </cfRule>
    <cfRule type="expression" dxfId="23" priority="13">
      <formula>F5="Give Up"</formula>
    </cfRule>
    <cfRule type="expression" dxfId="22" priority="14">
      <formula>F5="Technical Issues"</formula>
    </cfRule>
    <cfRule type="expression" dxfId="21" priority="15">
      <formula>F5="Other"</formula>
    </cfRule>
  </conditionalFormatting>
  <conditionalFormatting sqref="I5:I19">
    <cfRule type="expression" dxfId="20" priority="16">
      <formula>I5="Success"</formula>
    </cfRule>
    <cfRule type="expression" dxfId="19" priority="17">
      <formula>I5="Partial Fail"</formula>
    </cfRule>
    <cfRule type="expression" dxfId="18" priority="18">
      <formula>I5="Fail"</formula>
    </cfRule>
    <cfRule type="expression" dxfId="17" priority="19">
      <formula>I5="Time Limit"</formula>
    </cfRule>
    <cfRule type="expression" dxfId="16" priority="20">
      <formula>I5="Give Up"</formula>
    </cfRule>
    <cfRule type="expression" dxfId="15" priority="21">
      <formula>I5="Technical Issues"</formula>
    </cfRule>
    <cfRule type="expression" dxfId="14" priority="22">
      <formula>I5="Other"</formula>
    </cfRule>
  </conditionalFormatting>
  <conditionalFormatting sqref="L5:L19">
    <cfRule type="expression" dxfId="13" priority="23">
      <formula>L5="Success"</formula>
    </cfRule>
    <cfRule type="expression" dxfId="12" priority="24">
      <formula>L5="Partial Fail"</formula>
    </cfRule>
    <cfRule type="expression" dxfId="11" priority="25">
      <formula>L5="Fail"</formula>
    </cfRule>
    <cfRule type="expression" dxfId="10" priority="26">
      <formula>L5="Time Limit"</formula>
    </cfRule>
    <cfRule type="expression" dxfId="9" priority="27">
      <formula>L5="Give Up"</formula>
    </cfRule>
    <cfRule type="expression" dxfId="8" priority="28">
      <formula>L5="Technical Issues"</formula>
    </cfRule>
    <cfRule type="expression" dxfId="7" priority="29">
      <formula>L5="Other"</formula>
    </cfRule>
  </conditionalFormatting>
  <conditionalFormatting sqref="O5:O19">
    <cfRule type="expression" dxfId="6" priority="30">
      <formula>O5="Success"</formula>
    </cfRule>
    <cfRule type="expression" dxfId="5" priority="31">
      <formula>O5="Partial Fail"</formula>
    </cfRule>
    <cfRule type="expression" dxfId="4" priority="32">
      <formula>O5="Fail"</formula>
    </cfRule>
    <cfRule type="expression" dxfId="3" priority="33">
      <formula>O5="Time Limit"</formula>
    </cfRule>
    <cfRule type="expression" dxfId="2" priority="34">
      <formula>O5="Give Up"</formula>
    </cfRule>
    <cfRule type="expression" dxfId="1" priority="35">
      <formula>O5="Technical Issues"</formula>
    </cfRule>
    <cfRule type="expression" dxfId="0" priority="36">
      <formula>O5="Other"</formula>
    </cfRule>
  </conditionalFormatting>
  <dataValidations count="1">
    <dataValidation type="list" allowBlank="1" sqref="F5:F19 I5:I19 L5:L19 O5:O19 C5:C19" xr:uid="{00000000-0002-0000-0500-000000000000}">
      <formula1>"Success,Partial Fail,Fail,Time Limit,Give Up,Technical Issues,Other"</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19"/>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defaultColWidth="8.7109375" defaultRowHeight="15" x14ac:dyDescent="0.25"/>
  <cols>
    <col min="1" max="1" width="4" customWidth="1"/>
    <col min="2" max="2" width="22" customWidth="1"/>
    <col min="3" max="7" width="32" customWidth="1"/>
  </cols>
  <sheetData>
    <row r="1" spans="2:7" ht="39.75" customHeight="1" x14ac:dyDescent="0.25">
      <c r="B1" s="3" t="s">
        <v>173</v>
      </c>
      <c r="C1" s="3"/>
      <c r="D1" s="3"/>
      <c r="E1" s="3"/>
      <c r="F1" s="3"/>
      <c r="G1" s="3"/>
    </row>
    <row r="2" spans="2:7" ht="21.75" customHeight="1" x14ac:dyDescent="0.25">
      <c r="B2" s="9" t="s">
        <v>174</v>
      </c>
      <c r="C2" s="9"/>
      <c r="D2" s="9"/>
      <c r="E2" s="9"/>
      <c r="F2" s="9"/>
      <c r="G2" s="9"/>
    </row>
    <row r="3" spans="2:7" ht="30" customHeight="1" x14ac:dyDescent="0.25">
      <c r="B3" s="31" t="s">
        <v>175</v>
      </c>
      <c r="C3" s="32" t="s">
        <v>45</v>
      </c>
      <c r="D3" s="33" t="s">
        <v>46</v>
      </c>
      <c r="E3" s="34" t="s">
        <v>47</v>
      </c>
      <c r="F3" s="35" t="s">
        <v>48</v>
      </c>
      <c r="G3" s="36" t="s">
        <v>49</v>
      </c>
    </row>
    <row r="4" spans="2:7" ht="51.75" customHeight="1" x14ac:dyDescent="0.25">
      <c r="B4" s="37" t="s">
        <v>176</v>
      </c>
      <c r="C4" s="55" t="s">
        <v>177</v>
      </c>
      <c r="D4" s="55" t="s">
        <v>177</v>
      </c>
      <c r="E4" s="55" t="s">
        <v>177</v>
      </c>
      <c r="F4" s="55" t="s">
        <v>177</v>
      </c>
      <c r="G4" s="55" t="s">
        <v>177</v>
      </c>
    </row>
    <row r="5" spans="2:7" ht="51.75" customHeight="1" x14ac:dyDescent="0.25">
      <c r="B5" s="37" t="s">
        <v>178</v>
      </c>
      <c r="C5" s="56"/>
      <c r="D5" s="56"/>
      <c r="E5" s="56"/>
      <c r="F5" s="56"/>
      <c r="G5" s="56"/>
    </row>
    <row r="6" spans="2:7" ht="51.75" customHeight="1" x14ac:dyDescent="0.25">
      <c r="B6" s="37" t="s">
        <v>179</v>
      </c>
      <c r="C6" s="55"/>
      <c r="D6" s="55"/>
      <c r="E6" s="55"/>
      <c r="F6" s="55"/>
      <c r="G6" s="55"/>
    </row>
    <row r="7" spans="2:7" ht="51.75" customHeight="1" x14ac:dyDescent="0.25">
      <c r="B7" s="37" t="s">
        <v>180</v>
      </c>
      <c r="C7" s="56"/>
      <c r="D7" s="56"/>
      <c r="E7" s="56"/>
      <c r="F7" s="56"/>
      <c r="G7" s="56"/>
    </row>
    <row r="8" spans="2:7" ht="51.75" customHeight="1" x14ac:dyDescent="0.25">
      <c r="B8" s="37" t="s">
        <v>181</v>
      </c>
      <c r="C8" s="55"/>
      <c r="D8" s="55"/>
      <c r="E8" s="55"/>
      <c r="F8" s="55"/>
      <c r="G8" s="55"/>
    </row>
    <row r="9" spans="2:7" ht="51.75" customHeight="1" x14ac:dyDescent="0.25">
      <c r="B9" s="37" t="s">
        <v>182</v>
      </c>
      <c r="C9" s="56"/>
      <c r="D9" s="56"/>
      <c r="E9" s="56"/>
      <c r="F9" s="56"/>
      <c r="G9" s="56"/>
    </row>
    <row r="10" spans="2:7" ht="51.75" customHeight="1" x14ac:dyDescent="0.25">
      <c r="B10" s="37" t="s">
        <v>183</v>
      </c>
      <c r="C10" s="55"/>
      <c r="D10" s="55"/>
      <c r="E10" s="55"/>
      <c r="F10" s="55"/>
      <c r="G10" s="55"/>
    </row>
    <row r="11" spans="2:7" ht="51.75" customHeight="1" x14ac:dyDescent="0.25">
      <c r="B11" s="37" t="s">
        <v>184</v>
      </c>
      <c r="C11" s="56"/>
      <c r="D11" s="56"/>
      <c r="E11" s="56"/>
      <c r="F11" s="56"/>
      <c r="G11" s="56"/>
    </row>
    <row r="12" spans="2:7" ht="51.75" customHeight="1" x14ac:dyDescent="0.25">
      <c r="B12" s="37" t="s">
        <v>185</v>
      </c>
      <c r="C12" s="55"/>
      <c r="D12" s="55"/>
      <c r="E12" s="55"/>
      <c r="F12" s="55"/>
      <c r="G12" s="55"/>
    </row>
    <row r="14" spans="2:7" ht="24" customHeight="1" x14ac:dyDescent="0.25">
      <c r="B14" s="2" t="s">
        <v>186</v>
      </c>
      <c r="C14" s="2"/>
      <c r="D14" s="2"/>
      <c r="E14" s="2"/>
      <c r="F14" s="2"/>
      <c r="G14" s="2"/>
    </row>
    <row r="15" spans="2:7" ht="24" customHeight="1" x14ac:dyDescent="0.25">
      <c r="B15" s="31" t="s">
        <v>179</v>
      </c>
      <c r="C15" s="31" t="s">
        <v>187</v>
      </c>
      <c r="D15" s="31" t="s">
        <v>188</v>
      </c>
      <c r="E15" s="90" t="s">
        <v>189</v>
      </c>
      <c r="F15" s="90"/>
      <c r="G15" s="90"/>
    </row>
    <row r="16" spans="2:7" ht="27.75" customHeight="1" x14ac:dyDescent="0.25">
      <c r="B16" s="57" t="s">
        <v>190</v>
      </c>
      <c r="C16" s="43" t="s">
        <v>191</v>
      </c>
      <c r="D16" s="42" t="s">
        <v>192</v>
      </c>
      <c r="E16" s="1" t="s">
        <v>193</v>
      </c>
      <c r="F16" s="1"/>
      <c r="G16" s="1"/>
    </row>
    <row r="17" spans="2:7" ht="27.75" customHeight="1" x14ac:dyDescent="0.25">
      <c r="B17" s="58" t="s">
        <v>80</v>
      </c>
      <c r="C17" s="45" t="s">
        <v>194</v>
      </c>
      <c r="D17" s="44" t="s">
        <v>195</v>
      </c>
      <c r="E17" s="80" t="s">
        <v>196</v>
      </c>
      <c r="F17" s="80"/>
      <c r="G17" s="80"/>
    </row>
    <row r="18" spans="2:7" ht="27.75" customHeight="1" x14ac:dyDescent="0.25">
      <c r="B18" s="59" t="s">
        <v>88</v>
      </c>
      <c r="C18" s="43" t="s">
        <v>197</v>
      </c>
      <c r="D18" s="42" t="s">
        <v>198</v>
      </c>
      <c r="E18" s="1" t="s">
        <v>199</v>
      </c>
      <c r="F18" s="1"/>
      <c r="G18" s="1"/>
    </row>
    <row r="19" spans="2:7" ht="27.75" customHeight="1" x14ac:dyDescent="0.25">
      <c r="B19" s="60" t="s">
        <v>200</v>
      </c>
      <c r="C19" s="45" t="s">
        <v>201</v>
      </c>
      <c r="D19" s="44" t="s">
        <v>202</v>
      </c>
      <c r="E19" s="80" t="s">
        <v>203</v>
      </c>
      <c r="F19" s="80"/>
      <c r="G19" s="80"/>
    </row>
  </sheetData>
  <mergeCells count="8">
    <mergeCell ref="E17:G17"/>
    <mergeCell ref="E18:G18"/>
    <mergeCell ref="E19:G19"/>
    <mergeCell ref="B1:G1"/>
    <mergeCell ref="B2:G2"/>
    <mergeCell ref="B14:G14"/>
    <mergeCell ref="E15:G15"/>
    <mergeCell ref="E16:G1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D88"/>
  <sheetViews>
    <sheetView showGridLines="0" zoomScaleNormal="100" workbookViewId="0">
      <pane xSplit="2" ySplit="4" topLeftCell="C25" activePane="bottomRight" state="frozen"/>
      <selection pane="topRight" activeCell="C1" sqref="C1"/>
      <selection pane="bottomLeft" activeCell="A5" sqref="A5"/>
      <selection pane="bottomRight" activeCell="C34" sqref="C34"/>
    </sheetView>
  </sheetViews>
  <sheetFormatPr defaultColWidth="8.7109375" defaultRowHeight="15" x14ac:dyDescent="0.25"/>
  <cols>
    <col min="1" max="2" width="3" customWidth="1"/>
    <col min="3" max="3" width="161" customWidth="1"/>
    <col min="4" max="4" width="82.42578125" customWidth="1"/>
    <col min="5" max="5" width="3" customWidth="1"/>
  </cols>
  <sheetData>
    <row r="1" spans="2:4" ht="43.5" customHeight="1" x14ac:dyDescent="0.25">
      <c r="B1" s="10" t="s">
        <v>204</v>
      </c>
      <c r="C1" s="10"/>
      <c r="D1" s="10"/>
    </row>
    <row r="2" spans="2:4" ht="19.5" customHeight="1" x14ac:dyDescent="0.25">
      <c r="B2" s="9" t="s">
        <v>205</v>
      </c>
      <c r="C2" s="9"/>
      <c r="D2" s="9"/>
    </row>
    <row r="3" spans="2:4" ht="19.5" customHeight="1" x14ac:dyDescent="0.25">
      <c r="B3" s="9" t="s">
        <v>206</v>
      </c>
      <c r="C3" s="9"/>
      <c r="D3" s="9"/>
    </row>
    <row r="4" spans="2:4" ht="9.75" customHeight="1" x14ac:dyDescent="0.25">
      <c r="B4" s="17"/>
      <c r="C4" s="17"/>
      <c r="D4" s="17"/>
    </row>
    <row r="5" spans="2:4" ht="31.5" customHeight="1" x14ac:dyDescent="0.25">
      <c r="B5" s="91" t="s">
        <v>207</v>
      </c>
      <c r="C5" s="91"/>
      <c r="D5" s="91"/>
    </row>
    <row r="6" spans="2:4" ht="25.5" customHeight="1" x14ac:dyDescent="0.25">
      <c r="C6" s="61" t="s">
        <v>208</v>
      </c>
      <c r="D6" s="61" t="s">
        <v>209</v>
      </c>
    </row>
    <row r="7" spans="2:4" ht="39.75" customHeight="1" x14ac:dyDescent="0.25">
      <c r="B7" s="62"/>
      <c r="C7" s="13" t="s">
        <v>337</v>
      </c>
      <c r="D7" s="63" t="s">
        <v>210</v>
      </c>
    </row>
    <row r="8" spans="2:4" ht="39.75" customHeight="1" x14ac:dyDescent="0.25">
      <c r="B8" s="62"/>
      <c r="C8" s="16" t="s">
        <v>211</v>
      </c>
      <c r="D8" s="63" t="s">
        <v>212</v>
      </c>
    </row>
    <row r="9" spans="2:4" ht="39.75" customHeight="1" x14ac:dyDescent="0.25">
      <c r="B9" s="62"/>
      <c r="C9" s="13" t="s">
        <v>213</v>
      </c>
      <c r="D9" s="63" t="s">
        <v>214</v>
      </c>
    </row>
    <row r="10" spans="2:4" ht="39.75" customHeight="1" x14ac:dyDescent="0.25">
      <c r="B10" s="62"/>
      <c r="C10" s="16" t="s">
        <v>215</v>
      </c>
      <c r="D10" s="63" t="s">
        <v>216</v>
      </c>
    </row>
    <row r="11" spans="2:4" ht="39.75" customHeight="1" x14ac:dyDescent="0.25">
      <c r="B11" s="62"/>
      <c r="C11" s="13" t="s">
        <v>338</v>
      </c>
      <c r="D11" s="63" t="s">
        <v>217</v>
      </c>
    </row>
    <row r="12" spans="2:4" ht="39.75" customHeight="1" x14ac:dyDescent="0.25">
      <c r="B12" s="62"/>
      <c r="C12" s="16" t="s">
        <v>218</v>
      </c>
      <c r="D12" s="63" t="s">
        <v>219</v>
      </c>
    </row>
    <row r="13" spans="2:4" ht="9.75" customHeight="1" x14ac:dyDescent="0.25">
      <c r="B13" s="17"/>
      <c r="C13" s="17"/>
      <c r="D13" s="17"/>
    </row>
    <row r="14" spans="2:4" ht="31.5" customHeight="1" x14ac:dyDescent="0.25">
      <c r="B14" s="93" t="s">
        <v>220</v>
      </c>
      <c r="C14" s="93"/>
      <c r="D14" s="93"/>
    </row>
    <row r="15" spans="2:4" ht="25.5" customHeight="1" x14ac:dyDescent="0.25">
      <c r="C15" s="64" t="s">
        <v>208</v>
      </c>
      <c r="D15" s="64" t="s">
        <v>209</v>
      </c>
    </row>
    <row r="16" spans="2:4" ht="39.75" customHeight="1" x14ac:dyDescent="0.25">
      <c r="B16" s="62"/>
      <c r="C16" s="13" t="s">
        <v>339</v>
      </c>
      <c r="D16" s="63" t="s">
        <v>221</v>
      </c>
    </row>
    <row r="17" spans="2:4" ht="39.75" customHeight="1" x14ac:dyDescent="0.25">
      <c r="B17" s="62"/>
      <c r="C17" s="16" t="s">
        <v>222</v>
      </c>
      <c r="D17" s="63" t="s">
        <v>223</v>
      </c>
    </row>
    <row r="18" spans="2:4" ht="39.75" customHeight="1" x14ac:dyDescent="0.25">
      <c r="B18" s="62"/>
      <c r="C18" s="13" t="s">
        <v>224</v>
      </c>
      <c r="D18" s="63" t="s">
        <v>225</v>
      </c>
    </row>
    <row r="19" spans="2:4" ht="39.75" customHeight="1" x14ac:dyDescent="0.25">
      <c r="B19" s="62"/>
      <c r="C19" s="16" t="s">
        <v>226</v>
      </c>
      <c r="D19" s="63" t="s">
        <v>227</v>
      </c>
    </row>
    <row r="20" spans="2:4" ht="39.75" customHeight="1" x14ac:dyDescent="0.25">
      <c r="B20" s="62"/>
      <c r="C20" s="13" t="s">
        <v>340</v>
      </c>
      <c r="D20" s="104" t="s">
        <v>341</v>
      </c>
    </row>
    <row r="21" spans="2:4" ht="27.75" customHeight="1" x14ac:dyDescent="0.25">
      <c r="B21" s="65"/>
      <c r="C21" s="92" t="s">
        <v>228</v>
      </c>
      <c r="D21" s="92"/>
    </row>
    <row r="22" spans="2:4" ht="9.75" customHeight="1" x14ac:dyDescent="0.25">
      <c r="B22" s="17"/>
      <c r="C22" s="17"/>
      <c r="D22" s="17"/>
    </row>
    <row r="23" spans="2:4" ht="31.5" customHeight="1" x14ac:dyDescent="0.25">
      <c r="B23" s="95" t="s">
        <v>229</v>
      </c>
      <c r="C23" s="95"/>
      <c r="D23" s="95"/>
    </row>
    <row r="24" spans="2:4" ht="25.5" customHeight="1" x14ac:dyDescent="0.25">
      <c r="C24" s="66" t="s">
        <v>208</v>
      </c>
      <c r="D24" s="66" t="s">
        <v>209</v>
      </c>
    </row>
    <row r="25" spans="2:4" ht="39.75" customHeight="1" x14ac:dyDescent="0.25">
      <c r="B25" s="67"/>
      <c r="C25" s="19" t="s">
        <v>230</v>
      </c>
      <c r="D25" s="63" t="s">
        <v>231</v>
      </c>
    </row>
    <row r="26" spans="2:4" ht="39.75" customHeight="1" x14ac:dyDescent="0.25">
      <c r="B26" s="67"/>
      <c r="C26" s="16" t="s">
        <v>342</v>
      </c>
      <c r="D26" s="63" t="s">
        <v>232</v>
      </c>
    </row>
    <row r="27" spans="2:4" ht="39.75" customHeight="1" x14ac:dyDescent="0.25">
      <c r="B27" s="67"/>
      <c r="C27" s="19" t="s">
        <v>343</v>
      </c>
      <c r="D27" s="63" t="s">
        <v>233</v>
      </c>
    </row>
    <row r="28" spans="2:4" ht="39.75" customHeight="1" x14ac:dyDescent="0.25">
      <c r="B28" s="67"/>
      <c r="C28" s="16" t="s">
        <v>234</v>
      </c>
      <c r="D28" s="63" t="s">
        <v>235</v>
      </c>
    </row>
    <row r="29" spans="2:4" ht="39.75" customHeight="1" x14ac:dyDescent="0.25">
      <c r="B29" s="67"/>
      <c r="C29" s="19" t="s">
        <v>236</v>
      </c>
      <c r="D29" s="63" t="s">
        <v>237</v>
      </c>
    </row>
    <row r="30" spans="2:4" ht="39.75" customHeight="1" x14ac:dyDescent="0.25">
      <c r="B30" s="67"/>
      <c r="C30" s="16" t="s">
        <v>238</v>
      </c>
      <c r="D30" s="63" t="s">
        <v>239</v>
      </c>
    </row>
    <row r="31" spans="2:4" ht="9.75" customHeight="1" x14ac:dyDescent="0.25">
      <c r="B31" s="17"/>
      <c r="C31" s="17"/>
      <c r="D31" s="17"/>
    </row>
    <row r="32" spans="2:4" ht="31.5" customHeight="1" x14ac:dyDescent="0.25">
      <c r="B32" s="96" t="s">
        <v>240</v>
      </c>
      <c r="C32" s="96"/>
      <c r="D32" s="96"/>
    </row>
    <row r="33" spans="2:4" ht="25.5" customHeight="1" x14ac:dyDescent="0.25">
      <c r="C33" s="68" t="s">
        <v>208</v>
      </c>
      <c r="D33" s="68" t="s">
        <v>209</v>
      </c>
    </row>
    <row r="34" spans="2:4" ht="39.75" customHeight="1" x14ac:dyDescent="0.25">
      <c r="B34" s="69"/>
      <c r="C34" s="22" t="s">
        <v>344</v>
      </c>
      <c r="D34" s="63" t="s">
        <v>241</v>
      </c>
    </row>
    <row r="35" spans="2:4" ht="39.75" customHeight="1" x14ac:dyDescent="0.25">
      <c r="B35" s="69"/>
      <c r="C35" s="16" t="s">
        <v>242</v>
      </c>
      <c r="D35" s="63" t="s">
        <v>243</v>
      </c>
    </row>
    <row r="36" spans="2:4" ht="39.75" customHeight="1" x14ac:dyDescent="0.25">
      <c r="B36" s="69"/>
      <c r="C36" s="22" t="s">
        <v>244</v>
      </c>
      <c r="D36" s="63" t="s">
        <v>245</v>
      </c>
    </row>
    <row r="37" spans="2:4" ht="39.75" customHeight="1" x14ac:dyDescent="0.25">
      <c r="B37" s="69"/>
      <c r="C37" s="16" t="s">
        <v>246</v>
      </c>
      <c r="D37" s="63" t="s">
        <v>247</v>
      </c>
    </row>
    <row r="38" spans="2:4" ht="39.75" customHeight="1" x14ac:dyDescent="0.25">
      <c r="B38" s="69"/>
      <c r="C38" s="22" t="s">
        <v>248</v>
      </c>
      <c r="D38" s="63" t="s">
        <v>249</v>
      </c>
    </row>
    <row r="39" spans="2:4" ht="39.75" customHeight="1" x14ac:dyDescent="0.25">
      <c r="B39" s="69"/>
      <c r="C39" s="16" t="s">
        <v>250</v>
      </c>
      <c r="D39" s="63" t="s">
        <v>251</v>
      </c>
    </row>
    <row r="40" spans="2:4" ht="27.75" customHeight="1" x14ac:dyDescent="0.25">
      <c r="B40" s="70"/>
      <c r="C40" s="92" t="s">
        <v>252</v>
      </c>
      <c r="D40" s="92"/>
    </row>
    <row r="41" spans="2:4" ht="9.75" customHeight="1" x14ac:dyDescent="0.25">
      <c r="B41" s="17"/>
      <c r="C41" s="17"/>
      <c r="D41" s="17"/>
    </row>
    <row r="42" spans="2:4" ht="31.5" customHeight="1" x14ac:dyDescent="0.25">
      <c r="B42" s="97" t="s">
        <v>253</v>
      </c>
      <c r="C42" s="97"/>
      <c r="D42" s="97"/>
    </row>
    <row r="43" spans="2:4" ht="19.5" customHeight="1" x14ac:dyDescent="0.25">
      <c r="B43" s="98" t="s">
        <v>254</v>
      </c>
      <c r="C43" s="98"/>
      <c r="D43" s="98"/>
    </row>
    <row r="44" spans="2:4" ht="25.5" customHeight="1" x14ac:dyDescent="0.25">
      <c r="C44" s="71" t="s">
        <v>208</v>
      </c>
      <c r="D44" s="71" t="s">
        <v>209</v>
      </c>
    </row>
    <row r="45" spans="2:4" ht="39.75" customHeight="1" x14ac:dyDescent="0.25">
      <c r="B45" s="72"/>
      <c r="C45" s="28" t="s">
        <v>255</v>
      </c>
      <c r="D45" s="63" t="s">
        <v>256</v>
      </c>
    </row>
    <row r="46" spans="2:4" ht="39.75" customHeight="1" x14ac:dyDescent="0.25">
      <c r="B46" s="72"/>
      <c r="C46" s="16" t="s">
        <v>257</v>
      </c>
      <c r="D46" s="63" t="s">
        <v>258</v>
      </c>
    </row>
    <row r="47" spans="2:4" ht="39.75" customHeight="1" x14ac:dyDescent="0.25">
      <c r="B47" s="72"/>
      <c r="C47" s="28" t="s">
        <v>259</v>
      </c>
      <c r="D47" s="63" t="s">
        <v>260</v>
      </c>
    </row>
    <row r="48" spans="2:4" ht="39.75" customHeight="1" x14ac:dyDescent="0.25">
      <c r="B48" s="72"/>
      <c r="C48" s="16" t="s">
        <v>261</v>
      </c>
      <c r="D48" s="63" t="s">
        <v>262</v>
      </c>
    </row>
    <row r="49" spans="2:4" ht="39.75" customHeight="1" x14ac:dyDescent="0.25">
      <c r="B49" s="72"/>
      <c r="C49" s="28" t="s">
        <v>263</v>
      </c>
      <c r="D49" s="63" t="s">
        <v>264</v>
      </c>
    </row>
    <row r="50" spans="2:4" ht="39.75" customHeight="1" x14ac:dyDescent="0.25">
      <c r="B50" s="72"/>
      <c r="C50" s="16" t="s">
        <v>265</v>
      </c>
      <c r="D50" s="63" t="s">
        <v>266</v>
      </c>
    </row>
    <row r="51" spans="2:4" ht="27.75" customHeight="1" x14ac:dyDescent="0.25">
      <c r="B51" s="73"/>
      <c r="C51" s="92" t="s">
        <v>267</v>
      </c>
      <c r="D51" s="92"/>
    </row>
    <row r="52" spans="2:4" ht="9.75" customHeight="1" x14ac:dyDescent="0.25">
      <c r="B52" s="17"/>
      <c r="C52" s="17"/>
      <c r="D52" s="17"/>
    </row>
    <row r="53" spans="2:4" ht="31.5" customHeight="1" x14ac:dyDescent="0.25">
      <c r="B53" s="99" t="s">
        <v>268</v>
      </c>
      <c r="C53" s="99"/>
      <c r="D53" s="99"/>
    </row>
    <row r="54" spans="2:4" ht="19.5" customHeight="1" x14ac:dyDescent="0.25">
      <c r="B54" s="100" t="s">
        <v>269</v>
      </c>
      <c r="C54" s="100"/>
      <c r="D54" s="100"/>
    </row>
    <row r="55" spans="2:4" ht="25.5" customHeight="1" x14ac:dyDescent="0.25">
      <c r="C55" s="74" t="s">
        <v>208</v>
      </c>
      <c r="D55" s="74" t="s">
        <v>209</v>
      </c>
    </row>
    <row r="56" spans="2:4" ht="39.75" customHeight="1" x14ac:dyDescent="0.25">
      <c r="B56" s="75"/>
      <c r="C56" s="30" t="s">
        <v>270</v>
      </c>
      <c r="D56" s="63" t="s">
        <v>271</v>
      </c>
    </row>
    <row r="57" spans="2:4" ht="39.75" customHeight="1" x14ac:dyDescent="0.25">
      <c r="B57" s="75"/>
      <c r="C57" s="16" t="s">
        <v>272</v>
      </c>
      <c r="D57" s="63" t="s">
        <v>273</v>
      </c>
    </row>
    <row r="58" spans="2:4" ht="39.75" customHeight="1" x14ac:dyDescent="0.25">
      <c r="B58" s="75"/>
      <c r="C58" s="30" t="s">
        <v>274</v>
      </c>
      <c r="D58" s="63" t="s">
        <v>275</v>
      </c>
    </row>
    <row r="59" spans="2:4" ht="39.75" customHeight="1" x14ac:dyDescent="0.25">
      <c r="B59" s="75"/>
      <c r="C59" s="16" t="s">
        <v>276</v>
      </c>
      <c r="D59" s="63" t="s">
        <v>277</v>
      </c>
    </row>
    <row r="60" spans="2:4" ht="39.75" customHeight="1" x14ac:dyDescent="0.25">
      <c r="B60" s="75"/>
      <c r="C60" s="30" t="s">
        <v>278</v>
      </c>
      <c r="D60" s="63" t="s">
        <v>279</v>
      </c>
    </row>
    <row r="61" spans="2:4" ht="39.75" customHeight="1" x14ac:dyDescent="0.25">
      <c r="B61" s="75"/>
      <c r="C61" s="16" t="s">
        <v>280</v>
      </c>
      <c r="D61" s="63" t="s">
        <v>281</v>
      </c>
    </row>
    <row r="62" spans="2:4" ht="27.75" customHeight="1" x14ac:dyDescent="0.25">
      <c r="B62" s="76"/>
      <c r="C62" s="92" t="s">
        <v>282</v>
      </c>
      <c r="D62" s="92"/>
    </row>
    <row r="63" spans="2:4" ht="9.75" customHeight="1" x14ac:dyDescent="0.25">
      <c r="B63" s="17"/>
      <c r="C63" s="17"/>
      <c r="D63" s="17"/>
    </row>
    <row r="64" spans="2:4" ht="31.5" customHeight="1" x14ac:dyDescent="0.25">
      <c r="B64" s="93" t="s">
        <v>283</v>
      </c>
      <c r="C64" s="93"/>
      <c r="D64" s="93"/>
    </row>
    <row r="65" spans="2:4" ht="19.5" customHeight="1" x14ac:dyDescent="0.25">
      <c r="B65" s="94" t="s">
        <v>284</v>
      </c>
      <c r="C65" s="94"/>
      <c r="D65" s="94"/>
    </row>
    <row r="66" spans="2:4" ht="25.5" customHeight="1" x14ac:dyDescent="0.25">
      <c r="C66" s="64" t="s">
        <v>208</v>
      </c>
      <c r="D66" s="64" t="s">
        <v>209</v>
      </c>
    </row>
    <row r="67" spans="2:4" ht="39.75" customHeight="1" x14ac:dyDescent="0.25">
      <c r="B67" s="62"/>
      <c r="C67" s="13" t="s">
        <v>285</v>
      </c>
      <c r="D67" s="63" t="s">
        <v>286</v>
      </c>
    </row>
    <row r="68" spans="2:4" ht="39.75" customHeight="1" x14ac:dyDescent="0.25">
      <c r="B68" s="62"/>
      <c r="C68" s="16" t="s">
        <v>287</v>
      </c>
      <c r="D68" s="63" t="s">
        <v>288</v>
      </c>
    </row>
    <row r="69" spans="2:4" ht="39.75" customHeight="1" x14ac:dyDescent="0.25">
      <c r="B69" s="62"/>
      <c r="C69" s="13" t="s">
        <v>289</v>
      </c>
      <c r="D69" s="63" t="s">
        <v>290</v>
      </c>
    </row>
    <row r="70" spans="2:4" ht="39.75" customHeight="1" x14ac:dyDescent="0.25">
      <c r="B70" s="62"/>
      <c r="C70" s="16" t="s">
        <v>291</v>
      </c>
      <c r="D70" s="63" t="s">
        <v>292</v>
      </c>
    </row>
    <row r="71" spans="2:4" ht="39.75" customHeight="1" x14ac:dyDescent="0.25">
      <c r="B71" s="62"/>
      <c r="C71" s="13" t="s">
        <v>293</v>
      </c>
      <c r="D71" s="63" t="s">
        <v>294</v>
      </c>
    </row>
    <row r="72" spans="2:4" ht="39.75" customHeight="1" x14ac:dyDescent="0.25">
      <c r="B72" s="62"/>
      <c r="C72" s="16" t="s">
        <v>295</v>
      </c>
      <c r="D72" s="63" t="s">
        <v>217</v>
      </c>
    </row>
    <row r="73" spans="2:4" ht="27.75" customHeight="1" x14ac:dyDescent="0.25">
      <c r="B73" s="65"/>
      <c r="C73" s="92" t="s">
        <v>296</v>
      </c>
      <c r="D73" s="92"/>
    </row>
    <row r="74" spans="2:4" ht="9.75" customHeight="1" x14ac:dyDescent="0.25">
      <c r="B74" s="17"/>
      <c r="C74" s="17"/>
      <c r="D74" s="17"/>
    </row>
    <row r="75" spans="2:4" ht="31.5" customHeight="1" x14ac:dyDescent="0.25">
      <c r="B75" s="101" t="s">
        <v>297</v>
      </c>
      <c r="C75" s="101"/>
      <c r="D75" s="101"/>
    </row>
    <row r="76" spans="2:4" ht="19.5" customHeight="1" x14ac:dyDescent="0.25">
      <c r="B76" s="102" t="s">
        <v>298</v>
      </c>
      <c r="C76" s="102"/>
      <c r="D76" s="102"/>
    </row>
    <row r="77" spans="2:4" ht="25.5" customHeight="1" x14ac:dyDescent="0.25">
      <c r="C77" s="77" t="s">
        <v>299</v>
      </c>
      <c r="D77" s="77" t="s">
        <v>300</v>
      </c>
    </row>
    <row r="78" spans="2:4" ht="39.75" customHeight="1" x14ac:dyDescent="0.25">
      <c r="B78" s="78"/>
      <c r="C78" s="79" t="s">
        <v>301</v>
      </c>
      <c r="D78" s="63" t="s">
        <v>302</v>
      </c>
    </row>
    <row r="79" spans="2:4" ht="39.75" customHeight="1" x14ac:dyDescent="0.25">
      <c r="B79" s="78"/>
      <c r="C79" s="16" t="s">
        <v>303</v>
      </c>
      <c r="D79" s="63" t="s">
        <v>304</v>
      </c>
    </row>
    <row r="80" spans="2:4" ht="39.75" customHeight="1" x14ac:dyDescent="0.25">
      <c r="B80" s="78"/>
      <c r="C80" s="79" t="s">
        <v>305</v>
      </c>
      <c r="D80" s="63" t="s">
        <v>306</v>
      </c>
    </row>
    <row r="81" spans="2:4" ht="39.75" customHeight="1" x14ac:dyDescent="0.25">
      <c r="B81" s="78"/>
      <c r="C81" s="16" t="s">
        <v>307</v>
      </c>
      <c r="D81" s="63" t="s">
        <v>308</v>
      </c>
    </row>
    <row r="82" spans="2:4" ht="39.75" customHeight="1" x14ac:dyDescent="0.25">
      <c r="B82" s="78"/>
      <c r="C82" s="79" t="s">
        <v>309</v>
      </c>
      <c r="D82" s="63" t="s">
        <v>310</v>
      </c>
    </row>
    <row r="83" spans="2:4" ht="39.75" customHeight="1" x14ac:dyDescent="0.25">
      <c r="B83" s="78"/>
      <c r="C83" s="16" t="s">
        <v>311</v>
      </c>
      <c r="D83" s="63" t="s">
        <v>312</v>
      </c>
    </row>
    <row r="84" spans="2:4" ht="39.75" customHeight="1" x14ac:dyDescent="0.25">
      <c r="B84" s="78"/>
      <c r="C84" s="79" t="s">
        <v>313</v>
      </c>
      <c r="D84" s="63" t="s">
        <v>217</v>
      </c>
    </row>
    <row r="85" spans="2:4" ht="39.75" customHeight="1" x14ac:dyDescent="0.25">
      <c r="B85" s="78"/>
      <c r="C85" s="16" t="s">
        <v>314</v>
      </c>
      <c r="D85" s="63" t="s">
        <v>315</v>
      </c>
    </row>
    <row r="86" spans="2:4" ht="39.75" customHeight="1" x14ac:dyDescent="0.25">
      <c r="B86" s="78"/>
      <c r="C86" s="79" t="s">
        <v>316</v>
      </c>
      <c r="D86" s="63" t="s">
        <v>317</v>
      </c>
    </row>
    <row r="87" spans="2:4" ht="39.75" customHeight="1" x14ac:dyDescent="0.25">
      <c r="B87" s="78"/>
      <c r="C87" s="16" t="s">
        <v>318</v>
      </c>
      <c r="D87" s="63" t="s">
        <v>319</v>
      </c>
    </row>
    <row r="88" spans="2:4" ht="9.75" customHeight="1" x14ac:dyDescent="0.25">
      <c r="B88" s="17"/>
      <c r="C88" s="17"/>
      <c r="D88" s="17"/>
    </row>
  </sheetData>
  <mergeCells count="20">
    <mergeCell ref="B76:D76"/>
    <mergeCell ref="C62:D62"/>
    <mergeCell ref="B64:D64"/>
    <mergeCell ref="B65:D65"/>
    <mergeCell ref="C73:D73"/>
    <mergeCell ref="B75:D75"/>
    <mergeCell ref="B42:D42"/>
    <mergeCell ref="B43:D43"/>
    <mergeCell ref="C51:D51"/>
    <mergeCell ref="B53:D53"/>
    <mergeCell ref="B54:D54"/>
    <mergeCell ref="B32:D32"/>
    <mergeCell ref="C40:D40"/>
    <mergeCell ref="B14:D14"/>
    <mergeCell ref="C21:D21"/>
    <mergeCell ref="B23:D23"/>
    <mergeCell ref="B1:D1"/>
    <mergeCell ref="B2:D2"/>
    <mergeCell ref="B3:D3"/>
    <mergeCell ref="B5:D5"/>
  </mergeCells>
  <hyperlinks>
    <hyperlink ref="D7" r:id="rId1" xr:uid="{00000000-0004-0000-0700-000000000000}"/>
    <hyperlink ref="D8" r:id="rId2" xr:uid="{00000000-0004-0000-0700-000001000000}"/>
    <hyperlink ref="D9" r:id="rId3" xr:uid="{00000000-0004-0000-0700-000002000000}"/>
    <hyperlink ref="D10" r:id="rId4" xr:uid="{00000000-0004-0000-0700-000003000000}"/>
    <hyperlink ref="D11" r:id="rId5" xr:uid="{00000000-0004-0000-0700-000004000000}"/>
    <hyperlink ref="D12" r:id="rId6" xr:uid="{00000000-0004-0000-0700-000005000000}"/>
    <hyperlink ref="D16" r:id="rId7" xr:uid="{00000000-0004-0000-0700-000006000000}"/>
    <hyperlink ref="D17" r:id="rId8" xr:uid="{00000000-0004-0000-0700-000007000000}"/>
    <hyperlink ref="D18" r:id="rId9" xr:uid="{00000000-0004-0000-0700-000008000000}"/>
    <hyperlink ref="D19" r:id="rId10" xr:uid="{00000000-0004-0000-0700-000009000000}"/>
    <hyperlink ref="D25" r:id="rId11" xr:uid="{00000000-0004-0000-0700-00000C000000}"/>
    <hyperlink ref="D26" r:id="rId12" xr:uid="{00000000-0004-0000-0700-00000D000000}"/>
    <hyperlink ref="D27" r:id="rId13" xr:uid="{00000000-0004-0000-0700-00000E000000}"/>
    <hyperlink ref="D28" r:id="rId14" xr:uid="{00000000-0004-0000-0700-00000F000000}"/>
    <hyperlink ref="D29" r:id="rId15" xr:uid="{00000000-0004-0000-0700-000010000000}"/>
    <hyperlink ref="D30" r:id="rId16" xr:uid="{00000000-0004-0000-0700-000011000000}"/>
    <hyperlink ref="D34" r:id="rId17" xr:uid="{00000000-0004-0000-0700-000012000000}"/>
    <hyperlink ref="D35" r:id="rId18" xr:uid="{00000000-0004-0000-0700-000013000000}"/>
    <hyperlink ref="D36" r:id="rId19" xr:uid="{00000000-0004-0000-0700-000014000000}"/>
    <hyperlink ref="D37" r:id="rId20" xr:uid="{00000000-0004-0000-0700-000015000000}"/>
    <hyperlink ref="D38" r:id="rId21" xr:uid="{00000000-0004-0000-0700-000016000000}"/>
    <hyperlink ref="D39" r:id="rId22" xr:uid="{00000000-0004-0000-0700-000017000000}"/>
    <hyperlink ref="D45" r:id="rId23" xr:uid="{00000000-0004-0000-0700-000018000000}"/>
    <hyperlink ref="D46" r:id="rId24" xr:uid="{00000000-0004-0000-0700-000019000000}"/>
    <hyperlink ref="D47" r:id="rId25" xr:uid="{00000000-0004-0000-0700-00001A000000}"/>
    <hyperlink ref="D48" r:id="rId26" xr:uid="{00000000-0004-0000-0700-00001B000000}"/>
    <hyperlink ref="D49" r:id="rId27" xr:uid="{00000000-0004-0000-0700-00001C000000}"/>
    <hyperlink ref="D50" r:id="rId28" xr:uid="{00000000-0004-0000-0700-00001D000000}"/>
    <hyperlink ref="D56" r:id="rId29" xr:uid="{00000000-0004-0000-0700-00001E000000}"/>
    <hyperlink ref="D57" r:id="rId30" xr:uid="{00000000-0004-0000-0700-00001F000000}"/>
    <hyperlink ref="D58" r:id="rId31" xr:uid="{00000000-0004-0000-0700-000020000000}"/>
    <hyperlink ref="D59" r:id="rId32" xr:uid="{00000000-0004-0000-0700-000021000000}"/>
    <hyperlink ref="D60" r:id="rId33" xr:uid="{00000000-0004-0000-0700-000022000000}"/>
    <hyperlink ref="D61" r:id="rId34" xr:uid="{00000000-0004-0000-0700-000023000000}"/>
    <hyperlink ref="D67" r:id="rId35" xr:uid="{00000000-0004-0000-0700-000024000000}"/>
    <hyperlink ref="D68" r:id="rId36" xr:uid="{00000000-0004-0000-0700-000025000000}"/>
    <hyperlink ref="D69" r:id="rId37" xr:uid="{00000000-0004-0000-0700-000026000000}"/>
    <hyperlink ref="D70" r:id="rId38" xr:uid="{00000000-0004-0000-0700-000027000000}"/>
    <hyperlink ref="D71" r:id="rId39" xr:uid="{00000000-0004-0000-0700-000028000000}"/>
    <hyperlink ref="D72" r:id="rId40" xr:uid="{00000000-0004-0000-0700-000029000000}"/>
    <hyperlink ref="D78" r:id="rId41" xr:uid="{00000000-0004-0000-0700-00002A000000}"/>
    <hyperlink ref="D79" r:id="rId42" xr:uid="{00000000-0004-0000-0700-00002B000000}"/>
    <hyperlink ref="D80" r:id="rId43" xr:uid="{00000000-0004-0000-0700-00002C000000}"/>
    <hyperlink ref="D81" r:id="rId44" xr:uid="{00000000-0004-0000-0700-00002D000000}"/>
    <hyperlink ref="D82" r:id="rId45" xr:uid="{00000000-0004-0000-0700-00002E000000}"/>
    <hyperlink ref="D83" r:id="rId46" xr:uid="{00000000-0004-0000-0700-00002F000000}"/>
    <hyperlink ref="D84" r:id="rId47" xr:uid="{00000000-0004-0000-0700-000030000000}"/>
    <hyperlink ref="D85" r:id="rId48" xr:uid="{00000000-0004-0000-0700-000031000000}"/>
    <hyperlink ref="D86" r:id="rId49" xr:uid="{00000000-0004-0000-0700-000032000000}"/>
    <hyperlink ref="D87" r:id="rId50" xr:uid="{00000000-0004-0000-0700-000033000000}"/>
    <hyperlink ref="D20" r:id="rId51" xr:uid="{00000000-0004-0000-0700-00000A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Kickoff Questions</vt:lpstr>
      <vt:lpstr>Summary</vt:lpstr>
      <vt:lpstr>Test Goals</vt:lpstr>
      <vt:lpstr>Tasks</vt:lpstr>
      <vt:lpstr>Participants</vt:lpstr>
      <vt:lpstr>Data</vt:lpstr>
      <vt:lpstr>Analysis</vt:lpstr>
      <vt:lpstr>Help &amp; 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Hutt, Eric (IRCC/IRCC) (he, him | il, lui)</cp:lastModifiedBy>
  <cp:revision>0</cp:revision>
  <dcterms:created xsi:type="dcterms:W3CDTF">2026-04-20T11:38:43Z</dcterms:created>
  <dcterms:modified xsi:type="dcterms:W3CDTF">2026-04-22T14:15:26Z</dcterms:modified>
  <dc:language>en-US</dc:language>
</cp:coreProperties>
</file>