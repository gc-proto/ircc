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📈 Summary" sheetId="1" state="visible" r:id="rId3"/>
    <sheet name="📋 Study Goals" sheetId="2" state="visible" r:id="rId4"/>
    <sheet name="🗒️ Tasks" sheetId="3" state="visible" r:id="rId5"/>
    <sheet name="👥 Participants" sheetId="4" state="visible" r:id="rId6"/>
    <sheet name="📊 Data" sheetId="5" state="visible" r:id="rId7"/>
    <sheet name="🔍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<sst xmlns="http://schemas.openxmlformats.org/spreadsheetml/2006/main" count="276" uniqueCount="230">
  <si>
    <t xml:space="preserve">  USABILITY TEST PLAN  ·  Summary Dashboard</t>
  </si>
  <si>
    <t xml:space="preserve">Auto-calculated metrics pulled from the Data tab. Fill in Data tab first.</t>
  </si>
  <si>
    <t xml:space="preserve">  TASK COMPLETION RATES  (by Success Code)</t>
  </si>
  <si>
    <t xml:space="preserve">Metric</t>
  </si>
  <si>
    <t xml:space="preserve">Task 1</t>
  </si>
  <si>
    <t xml:space="preserve">Task 2</t>
  </si>
  <si>
    <t xml:space="preserve">Task 3</t>
  </si>
  <si>
    <t xml:space="preserve">Task 4</t>
  </si>
  <si>
    <t xml:space="preserve">Task 5</t>
  </si>
  <si>
    <t xml:space="preserve">✅ Success</t>
  </si>
  <si>
    <t xml:space="preserve">⚠️ Partial Fail</t>
  </si>
  <si>
    <t xml:space="preserve">❌ Fail</t>
  </si>
  <si>
    <t xml:space="preserve">⏱️ Time Limit</t>
  </si>
  <si>
    <t xml:space="preserve">🚪 Give Up</t>
  </si>
  <si>
    <t xml:space="preserve">🔧 Technical Issues</t>
  </si>
  <si>
    <t xml:space="preserve">🔘 Other</t>
  </si>
  <si>
    <t xml:space="preserve">📊 Total Recorded</t>
  </si>
  <si>
    <t xml:space="preserve">✅ Success Rate</t>
  </si>
  <si>
    <t xml:space="preserve">  TOP-LEVEL FINDINGS SUMMARY</t>
  </si>
  <si>
    <t xml:space="preserve">Most Critical Issue</t>
  </si>
  <si>
    <t xml:space="preserve">Most Impacted Task</t>
  </si>
  <si>
    <t xml:space="preserve">Overall Success Rate</t>
  </si>
  <si>
    <t xml:space="preserve">Key Recommendation 1</t>
  </si>
  <si>
    <t xml:space="preserve">Key Recommendation 2</t>
  </si>
  <si>
    <t xml:space="preserve">Key Recommendation 3</t>
  </si>
  <si>
    <t xml:space="preserve">Follow-up Questions</t>
  </si>
  <si>
    <t xml:space="preserve">Next Steps</t>
  </si>
  <si>
    <t xml:space="preserve">  USABILITY TEST PLAN  ·  Study Goals</t>
  </si>
  <si>
    <t xml:space="preserve">Define the objectives for this usability study and how each goal will be measured.</t>
  </si>
  <si>
    <t xml:space="preserve">  STUDY METADATA</t>
  </si>
  <si>
    <t xml:space="preserve">Study Title</t>
  </si>
  <si>
    <t xml:space="preserve">Product / Feature</t>
  </si>
  <si>
    <t xml:space="preserve">Research Lead</t>
  </si>
  <si>
    <t xml:space="preserve">Date(s) of Testing</t>
  </si>
  <si>
    <t xml:space="preserve">Methodology</t>
  </si>
  <si>
    <t xml:space="preserve">  STUDY GOALS</t>
  </si>
  <si>
    <t xml:space="preserve">#</t>
  </si>
  <si>
    <t xml:space="preserve">Research Goal</t>
  </si>
  <si>
    <t xml:space="preserve">Why It Matters</t>
  </si>
  <si>
    <t xml:space="preserve">How It Will Be Measured</t>
  </si>
  <si>
    <t xml:space="preserve">Priority</t>
  </si>
  <si>
    <t xml:space="preserve">1</t>
  </si>
  <si>
    <t xml:space="preserve">Identify usability issues in the main task flow</t>
  </si>
  <si>
    <t xml:space="preserve">Core functionality must be intuitive for users</t>
  </si>
  <si>
    <t xml:space="preserve">Usability issues found; time on task</t>
  </si>
  <si>
    <t xml:space="preserve">High</t>
  </si>
  <si>
    <t xml:space="preserve">2</t>
  </si>
  <si>
    <t xml:space="preserve">Assess learnability for first-time users</t>
  </si>
  <si>
    <t xml:space="preserve">Product targets non-technical audience</t>
  </si>
  <si>
    <t xml:space="preserve">Task success rate; qualitative feedback</t>
  </si>
  <si>
    <t xml:space="preserve">3</t>
  </si>
  <si>
    <t xml:space="preserve">Evaluate satisfaction with UI language &amp; labels</t>
  </si>
  <si>
    <t xml:space="preserve">Confusing labels increase support load</t>
  </si>
  <si>
    <t xml:space="preserve">Verbal think-aloud; post-task ratings</t>
  </si>
  <si>
    <t xml:space="preserve">Medium</t>
  </si>
  <si>
    <t xml:space="preserve">4</t>
  </si>
  <si>
    <t xml:space="preserve">Benchmark task completion time</t>
  </si>
  <si>
    <t xml:space="preserve">Establishes baseline for future tests</t>
  </si>
  <si>
    <t xml:space="preserve">Time on task per scenario</t>
  </si>
  <si>
    <t xml:space="preserve">5</t>
  </si>
  <si>
    <t xml:space="preserve">  MEASUREMENT METHODS  ·  Reference</t>
  </si>
  <si>
    <t xml:space="preserve">Description</t>
  </si>
  <si>
    <t xml:space="preserve">When to Use</t>
  </si>
  <si>
    <t xml:space="preserve">Time on Task</t>
  </si>
  <si>
    <t xml:space="preserve">Clock time from task start to end (success or stop)</t>
  </si>
  <si>
    <t xml:space="preserve">Efficiency benchmarking; identifying slow flows</t>
  </si>
  <si>
    <t xml:space="preserve">Task Success Rate</t>
  </si>
  <si>
    <t xml:space="preserve">% of participants who complete task successfully</t>
  </si>
  <si>
    <t xml:space="preserve">Core usability health metric</t>
  </si>
  <si>
    <t xml:space="preserve">Error Rate</t>
  </si>
  <si>
    <t xml:space="preserve"># of errors / incorrect actions per task attempt</t>
  </si>
  <si>
    <t xml:space="preserve">Identifying misleading UI elements</t>
  </si>
  <si>
    <t xml:space="preserve">Think-Aloud Feedback</t>
  </si>
  <si>
    <t xml:space="preserve">Verbal commentary captured during the session</t>
  </si>
  <si>
    <t xml:space="preserve">Understanding mental models &amp; confusion points</t>
  </si>
  <si>
    <t xml:space="preserve">Post-Task Rating</t>
  </si>
  <si>
    <t xml:space="preserve">Participant self-report on ease (e.g. SEQ 1–7)</t>
  </si>
  <si>
    <t xml:space="preserve">Perceived difficulty vs observed difficulty</t>
  </si>
  <si>
    <t xml:space="preserve">Post-Study Questionnaire</t>
  </si>
  <si>
    <t xml:space="preserve">SUS, UMUX-Lite, or custom satisfaction survey</t>
  </si>
  <si>
    <t xml:space="preserve">Overall satisfaction &amp; benchmarking</t>
  </si>
  <si>
    <t xml:space="preserve">  USABILITY TEST PLAN  ·  Tasks &amp; Scenarios</t>
  </si>
  <si>
    <t xml:space="preserve">Define each task scenario, the starting state, success criteria, and researcher notes.</t>
  </si>
  <si>
    <t xml:space="preserve">Task #</t>
  </si>
  <si>
    <t xml:space="preserve">Task Title</t>
  </si>
  <si>
    <t xml:space="preserve">Task Text (shown to participant)</t>
  </si>
  <si>
    <t xml:space="preserve">Success Criteria</t>
  </si>
  <si>
    <t xml:space="preserve">Starting State / Pre-conditions</t>
  </si>
  <si>
    <t xml:space="preserve">Time Limit
(mm:ss)</t>
  </si>
  <si>
    <t xml:space="preserve">Difficulty
Estimate</t>
  </si>
  <si>
    <t xml:space="preserve">Researcher Notes</t>
  </si>
  <si>
    <t xml:space="preserve">T1</t>
  </si>
  <si>
    <t xml:space="preserve">Find a product</t>
  </si>
  <si>
    <t xml:space="preserve">Starting from the homepage, find the product called "[Product Name]" and add it to your cart.</t>
  </si>
  <si>
    <t xml:space="preserve">Participant adds correct item to cart</t>
  </si>
  <si>
    <t xml:space="preserve">Logged-out homepage</t>
  </si>
  <si>
    <t xml:space="preserve">03:00</t>
  </si>
  <si>
    <t xml:space="preserve">Easy</t>
  </si>
  <si>
    <t xml:space="preserve">T2</t>
  </si>
  <si>
    <t xml:space="preserve">Create an account</t>
  </si>
  <si>
    <t xml:space="preserve">Please create a new account using your email address.</t>
  </si>
  <si>
    <t xml:space="preserve">Account created; confirmation screen shown</t>
  </si>
  <si>
    <t xml:space="preserve">Homepage, logged out</t>
  </si>
  <si>
    <t xml:space="preserve">05:00</t>
  </si>
  <si>
    <t xml:space="preserve">Watch for confusion on password rules</t>
  </si>
  <si>
    <t xml:space="preserve">T3</t>
  </si>
  <si>
    <t xml:space="preserve">Update profile</t>
  </si>
  <si>
    <t xml:space="preserve">You have just logged in. Please update your display name to 'Test User'.</t>
  </si>
  <si>
    <t xml:space="preserve">Display name updated and saved</t>
  </si>
  <si>
    <t xml:space="preserve">Logged-in dashboard</t>
  </si>
  <si>
    <t xml:space="preserve">02:00</t>
  </si>
  <si>
    <t xml:space="preserve">T4</t>
  </si>
  <si>
    <t xml:space="preserve">Complete checkout</t>
  </si>
  <si>
    <t xml:space="preserve">Please complete the purchase of the item in your cart.</t>
  </si>
  <si>
    <t xml:space="preserve">Order confirmation page reached</t>
  </si>
  <si>
    <t xml:space="preserve">Cart with 1 item</t>
  </si>
  <si>
    <t xml:space="preserve">Hard</t>
  </si>
  <si>
    <t xml:space="preserve">Note any payment form issues</t>
  </si>
  <si>
    <t xml:space="preserve">T5</t>
  </si>
  <si>
    <t xml:space="preserve">Find order history</t>
  </si>
  <si>
    <t xml:space="preserve">You placed an order last week. Please find that order and check its current status.</t>
  </si>
  <si>
    <t xml:space="preserve">Order status page viewed</t>
  </si>
  <si>
    <t xml:space="preserve">Logged-in account</t>
  </si>
  <si>
    <t xml:space="preserve">  FACILITATOR SCRIPT GUIDE</t>
  </si>
  <si>
    <t xml:space="preserve">Introduction</t>
  </si>
  <si>
    <t xml:space="preserve">Welcome the participant, explain the think-aloud protocol, and clarify that you are testing the product, not them. Obtain consent.</t>
  </si>
  <si>
    <t xml:space="preserve">Warm-up</t>
  </si>
  <si>
    <t xml:space="preserve">Ask 2–3 background questions (e.g. device usage habits) to ease the participant in before tasks begin.</t>
  </si>
  <si>
    <t xml:space="preserve">Task Delivery</t>
  </si>
  <si>
    <t xml:space="preserve">Read each task aloud and hand the participant the printed/on-screen task card. Do not answer navigational questions — redirect: 'What would you do if I weren't here?'</t>
  </si>
  <si>
    <t xml:space="preserve">Wrap-up</t>
  </si>
  <si>
    <t xml:space="preserve">Administer post-study questionnaire. Ask any debrief questions. Thank the participant and explain next steps.</t>
  </si>
  <si>
    <t xml:space="preserve">  USABILITY TEST PLAN  ·  Participants</t>
  </si>
  <si>
    <t xml:space="preserve">Section A: Define screening criteria. Section B: Record recruited participant details.</t>
  </si>
  <si>
    <t xml:space="preserve">  SECTION A  ·  Desired Participant Profile &amp; Screening Criteria</t>
  </si>
  <si>
    <t xml:space="preserve">Target User Group</t>
  </si>
  <si>
    <t xml:space="preserve">Primary users of the product; existing customers or qualified prospects</t>
  </si>
  <si>
    <t xml:space="preserve">Age Range</t>
  </si>
  <si>
    <t xml:space="preserve">18–55</t>
  </si>
  <si>
    <t xml:space="preserve">Tech Proficiency</t>
  </si>
  <si>
    <t xml:space="preserve">Comfortable using smartphones and web browsers; not IT professionals</t>
  </si>
  <si>
    <t xml:space="preserve">Device Requirement</t>
  </si>
  <si>
    <t xml:space="preserve">Must own and regularly use a smartphone (iOS or Android)</t>
  </si>
  <si>
    <t xml:space="preserve">Language</t>
  </si>
  <si>
    <t xml:space="preserve">English (native or fluent)</t>
  </si>
  <si>
    <t xml:space="preserve">Location</t>
  </si>
  <si>
    <t xml:space="preserve">Canada or United States</t>
  </si>
  <si>
    <t xml:space="preserve">Exclusion Criteria</t>
  </si>
  <si>
    <t xml:space="preserve">Employees of [Company]; anyone who has participated in a test in last 6 months</t>
  </si>
  <si>
    <t xml:space="preserve">Sample Size</t>
  </si>
  <si>
    <t xml:space="preserve">10 participants (minimum 5 for qualitative saturation)</t>
  </si>
  <si>
    <t xml:space="preserve">Incentive</t>
  </si>
  <si>
    <t xml:space="preserve">$XX gift card or equivalent</t>
  </si>
  <si>
    <t xml:space="preserve">  SECTION B  ·  Recruited Participant Details</t>
  </si>
  <si>
    <t xml:space="preserve">P #</t>
  </si>
  <si>
    <t xml:space="preserve">Name / Code</t>
  </si>
  <si>
    <t xml:space="preserve">Age</t>
  </si>
  <si>
    <t xml:space="preserve">Country</t>
  </si>
  <si>
    <t xml:space="preserve">Device Type</t>
  </si>
  <si>
    <t xml:space="preserve">OS</t>
  </si>
  <si>
    <t xml:space="preserve">Recruited By</t>
  </si>
  <si>
    <t xml:space="preserve">Session Date &amp; Time</t>
  </si>
  <si>
    <t xml:space="preserve">Notes</t>
  </si>
  <si>
    <t xml:space="preserve">P01</t>
  </si>
  <si>
    <t xml:space="preserve">P02</t>
  </si>
  <si>
    <t xml:space="preserve">P03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</si>
  <si>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</si>
  <si>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</si>
  <si>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</si>
  <si>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</si>
  <si>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</si>
  <si>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</si>
  <si>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</si>
  <si>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</si>
  <si>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  USABILITY TEST PLAN  ·  Session Data</t>
  </si>
  <si>
    <t xml:space="preserve">Record each participant's performance per task. Use the Success Code dropdown for outcome classification.</t>
  </si>
  <si>
    <t xml:space="preserve">TASK 1</t>
  </si>
  <si>
    <t xml:space="preserve">TASK 2</t>
  </si>
  <si>
    <t xml:space="preserve">TASK 3</t>
  </si>
  <si>
    <t xml:space="preserve">TASK 4</t>
  </si>
  <si>
    <t xml:space="preserve">TASK 5</t>
  </si>
  <si>
    <t xml:space="preserve">Time
on Task</t>
  </si>
  <si>
    <t xml:space="preserve">Success
Code</t>
  </si>
  <si>
    <t xml:space="preserve">Observations / Notes</t>
  </si>
  <si>
    <t xml:space="preserve">  SUCCESS CODE LEGEND</t>
  </si>
  <si>
    <t xml:space="preserve">Success</t>
  </si>
  <si>
    <t xml:space="preserve">Participant completed the task fully and correctly within the time limit.</t>
  </si>
  <si>
    <t xml:space="preserve">Partial Fail</t>
  </si>
  <si>
    <t xml:space="preserve">Participant completed the task but with significant errors, help, or workarounds.</t>
  </si>
  <si>
    <t xml:space="preserve">Fail</t>
  </si>
  <si>
    <t xml:space="preserve">Participant did not complete the task and gave an incorrect outcome.</t>
  </si>
  <si>
    <t xml:space="preserve">Time Limit</t>
  </si>
  <si>
    <t xml:space="preserve">Participant ran out of time before completing the task.</t>
  </si>
  <si>
    <t xml:space="preserve">Give Up</t>
  </si>
  <si>
    <t xml:space="preserve">Participant abandoned the task of their own volition.</t>
  </si>
  <si>
    <t xml:space="preserve">Technical Issues</t>
  </si>
  <si>
    <t xml:space="preserve">Session interrupted by a technical problem unrelated to the participant.</t>
  </si>
  <si>
    <t xml:space="preserve">Other</t>
  </si>
  <si>
    <t xml:space="preserve">Does not fit any other category. Add details in Observations.</t>
  </si>
  <si>
    <t xml:space="preserve">  USABILITY TEST PLAN  ·  Analysis &amp; Recommendations</t>
  </si>
  <si>
    <t xml:space="preserve">Synthesize findings per task. Identify key issues, severity, and actionable recommendations.</t>
  </si>
  <si>
    <t xml:space="preserve">Analysis Dimension</t>
  </si>
  <si>
    <t xml:space="preserve">Key Usability Issues Observed</t>
  </si>
  <si>
    <t xml:space="preserve">List specific problems seen across participants.</t>
  </si>
  <si>
    <t xml:space="preserve">Frequency</t>
  </si>
  <si>
    <t xml:space="preserve">Severity</t>
  </si>
  <si>
    <t xml:space="preserve">Root Cause (Hypothesis)</t>
  </si>
  <si>
    <t xml:space="preserve">Supporting Quotes / Observations</t>
  </si>
  <si>
    <t xml:space="preserve">Recommendations</t>
  </si>
  <si>
    <t xml:space="preserve">Priority for Fix</t>
  </si>
  <si>
    <t xml:space="preserve">Effort Estimate</t>
  </si>
  <si>
    <t xml:space="preserve">Additional Notes</t>
  </si>
  <si>
    <t xml:space="preserve">  SEVERITY RATING GUIDE</t>
  </si>
  <si>
    <t xml:space="preserve">Definition</t>
  </si>
  <si>
    <t xml:space="preserve">Frequency Threshold</t>
  </si>
  <si>
    <t xml:space="preserve">Recommended Action</t>
  </si>
  <si>
    <t xml:space="preserve">Critical</t>
  </si>
  <si>
    <t xml:space="preserve">Prevents task completion; user cannot proceed</t>
  </si>
  <si>
    <t xml:space="preserve">≥ 50% of participants</t>
  </si>
  <si>
    <t xml:space="preserve">Fix before launch</t>
  </si>
  <si>
    <t xml:space="preserve">Causes significant struggle; workaround is painful</t>
  </si>
  <si>
    <t xml:space="preserve">≥ 30% of participants</t>
  </si>
  <si>
    <t xml:space="preserve">Fix in next sprint</t>
  </si>
  <si>
    <t xml:space="preserve">Causes confusion or delay but task is completable</t>
  </si>
  <si>
    <t xml:space="preserve">≥ 20% of participants</t>
  </si>
  <si>
    <t xml:space="preserve">Schedule for roadmap</t>
  </si>
  <si>
    <t xml:space="preserve">Low</t>
  </si>
  <si>
    <t xml:space="preserve">Minor annoyance; cosmetic or edge-case issue</t>
  </si>
  <si>
    <t xml:space="preserve">&lt; 20% of participants</t>
  </si>
  <si>
    <t xml:space="preserve">Backlog / nice-to-have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</si>
</sst>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276221"/>
      <name val="Arial"/>
      <family val="0"/>
      <charset val="1"/>
    </font>
    <font>
      <b val="true"/>
      <sz val="12"/>
      <color rgb="FF276221"/>
      <name val="Arial"/>
      <family val="0"/>
      <charset val="1"/>
    </font>
    <font>
      <b val="true"/>
      <sz val="9"/>
      <color rgb="FF276221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8B4513"/>
      <name val="Arial"/>
      <family val="0"/>
      <charset val="1"/>
    </font>
    <font>
      <b val="true"/>
      <sz val="9"/>
      <color rgb="FF6B2FA0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9"/>
      <color rgb="FF1A7A6E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8B4513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276221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003300"/>
      </patternFill>
    </fill>
    <fill>
      <patternFill patternType="solid">
        <fgColor rgb="FFEEF4FC"/>
        <bgColor rgb="FFFFFFFF"/>
      </patternFill>
    </fill>
    <fill>
      <patternFill patternType="solid">
        <fgColor rgb="FF2E5DA6"/>
        <bgColor rgb="FF1F618D"/>
      </patternFill>
    </fill>
    <fill>
      <patternFill patternType="solid">
        <fgColor rgb="FF1A5276"/>
        <bgColor rgb="FF1F618D"/>
      </patternFill>
    </fill>
    <fill>
      <patternFill patternType="solid">
        <fgColor rgb="FF1F618D"/>
        <bgColor rgb="FF2E5DA6"/>
      </patternFill>
    </fill>
    <fill>
      <patternFill patternType="solid">
        <fgColor rgb="FF2874A6"/>
        <bgColor rgb="FF2E86C1"/>
      </patternFill>
    </fill>
    <fill>
      <patternFill patternType="solid">
        <fgColor rgb="FF2E86C1"/>
        <bgColor rgb="FF3498DB"/>
      </patternFill>
    </fill>
    <fill>
      <patternFill patternType="solid">
        <fgColor rgb="FF3498DB"/>
        <bgColor rgb="FF2E86C1"/>
      </patternFill>
    </fill>
    <fill>
      <patternFill patternType="solid">
        <fgColor rgb="FFD6E4F7"/>
        <bgColor rgb="FFE2E2E2"/>
      </patternFill>
    </fill>
    <fill>
      <patternFill patternType="solid">
        <fgColor rgb="FFFFFFFF"/>
        <bgColor rgb="FFEEF4FC"/>
      </patternFill>
    </fill>
    <fill>
      <patternFill patternType="solid">
        <fgColor rgb="FFC6EFCE"/>
        <bgColor rgb="FFD5F5F1"/>
      </patternFill>
    </fill>
    <fill>
      <patternFill patternType="solid">
        <fgColor rgb="FFFFEB9C"/>
        <bgColor rgb="FFFFDAB9"/>
      </patternFill>
    </fill>
    <fill>
      <patternFill patternType="solid">
        <fgColor rgb="FFFFC7CE"/>
        <bgColor rgb="FFFFDAB9"/>
      </patternFill>
    </fill>
    <fill>
      <patternFill patternType="solid">
        <fgColor rgb="FFFFDAB9"/>
        <bgColor rgb="FFFFC7CE"/>
      </patternFill>
    </fill>
    <fill>
      <patternFill patternType="solid">
        <fgColor rgb="FFE8D5F5"/>
        <bgColor rgb="FFE2E2E2"/>
      </patternFill>
    </fill>
    <fill>
      <patternFill patternType="solid">
        <fgColor rgb="FFE2E2E2"/>
        <bgColor rgb="FFD6E4F7"/>
      </patternFill>
    </fill>
    <fill>
      <patternFill patternType="solid">
        <fgColor rgb="FFD5F5F1"/>
        <bgColor rgb="FFD6E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8B4513"/>
        <sz val="10"/>
      </font>
      <fill>
        <patternFill>
          <bgColor rgb="FFFFDAB9"/>
        </patternFill>
      </fill>
    </dxf>
    <dxf>
      <font>
        <name val="Arial"/>
        <charset val="1"/>
        <family val="0"/>
        <color rgb="FF6B2FA0"/>
        <sz val="10"/>
      </font>
      <fill>
        <patternFill>
          <bgColor rgb="FFE8D5F5"/>
        </patternFill>
      </fill>
    </dxf>
    <dxf>
      <font>
        <name val="Arial"/>
        <charset val="1"/>
        <family val="0"/>
        <color rgb="FF444444"/>
        <sz val="10"/>
      </font>
      <fill>
        <patternFill>
          <bgColor rgb="FFE2E2E2"/>
        </patternFill>
      </fill>
    </dxf>
    <dxf>
      <font>
        <name val="Arial"/>
        <charset val="1"/>
        <family val="0"/>
        <color rgb="FF1A7A6E"/>
        <sz val="10"/>
      </font>
      <fill>
        <patternFill>
          <bgColor rgb="FFD5F5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1A7A6E"/>
      <rgbColor rgb="FFCCCCCC"/>
      <rgbColor rgb="FF808080"/>
      <rgbColor rgb="FF9999FF"/>
      <rgbColor rgb="FF993366"/>
      <rgbColor rgb="FFEEF4FC"/>
      <rgbColor rgb="FFD5F5F1"/>
      <rgbColor rgb="FF660066"/>
      <rgbColor rgb="FFFF8080"/>
      <rgbColor rgb="FF1F618D"/>
      <rgbColor rgb="FFE8D5F5"/>
      <rgbColor rgb="FF000080"/>
      <rgbColor rgb="FFFF00FF"/>
      <rgbColor rgb="FFFFFF00"/>
      <rgbColor rgb="FF00FFFF"/>
      <rgbColor rgb="FF800080"/>
      <rgbColor rgb="FF800000"/>
      <rgbColor rgb="FF2874A6"/>
      <rgbColor rgb="FF0000FF"/>
      <rgbColor rgb="FF00CCFF"/>
      <rgbColor rgb="FFD6E4F7"/>
      <rgbColor rgb="FFC6EFCE"/>
      <rgbColor rgb="FFFFEB9C"/>
      <rgbColor rgb="FFE2E2E2"/>
      <rgbColor rgb="FFFFC7CE"/>
      <rgbColor rgb="FFCC99FF"/>
      <rgbColor rgb="FFFFDAB9"/>
      <rgbColor rgb="FF2E5DA6"/>
      <rgbColor rgb="FF3498DB"/>
      <rgbColor rgb="FF99CC00"/>
      <rgbColor rgb="FFFFCC00"/>
      <rgbColor rgb="FFFF9900"/>
      <rgbColor rgb="FFFF6600"/>
      <rgbColor rgb="FF555555"/>
      <rgbColor rgb="FFAAAAAA"/>
      <rgbColor rgb="FF1A5276"/>
      <rgbColor rgb="FF2E86C1"/>
      <rgbColor rgb="FF003300"/>
      <rgbColor rgb="FF444444"/>
      <rgbColor rgb="FF8B4513"/>
      <rgbColor rgb="FF993366"/>
      <rgbColor rgb="FF6B2FA0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24" hidden="false" customHeight="true" outlineLevel="0" collapsed="false">
      <c r="B3" s="3" t="s">
        <v>2</v>
      </c>
      <c r="C3" s="3"/>
      <c r="D3" s="3"/>
      <c r="E3" s="3"/>
      <c r="F3" s="3"/>
      <c r="G3" s="3"/>
    </row>
    <row r="4" customFormat="false" ht="30" hidden="false" customHeight="true" outlineLevel="0" collapsed="false"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9" t="s">
        <v>8</v>
      </c>
    </row>
    <row r="5" customFormat="false" ht="24" hidden="false" customHeight="true" outlineLevel="0" collapsed="false">
      <c r="B5" s="10" t="s">
        <v>9</v>
      </c>
      <c r="C5" s="11" t="n">
        <f aca="false">COUNTIF('📊 Data'!D5:D14,"Success")</f>
        <v>0</v>
      </c>
      <c r="D5" s="11" t="n">
        <f aca="false">COUNTIF('📊 Data'!G5:G14,"Success")</f>
        <v>0</v>
      </c>
      <c r="E5" s="11" t="n">
        <f aca="false">COUNTIF('📊 Data'!J5:J14,"Success")</f>
        <v>0</v>
      </c>
      <c r="F5" s="11" t="n">
        <f aca="false">COUNTIF('📊 Data'!M5:M14,"Success")</f>
        <v>0</v>
      </c>
      <c r="G5" s="11" t="n">
        <f aca="false">COUNTIF('📊 Data'!P5:P14,"Success")</f>
        <v>0</v>
      </c>
    </row>
    <row r="6" customFormat="false" ht="24" hidden="false" customHeight="true" outlineLevel="0" collapsed="false">
      <c r="B6" s="10" t="s">
        <v>10</v>
      </c>
      <c r="C6" s="12" t="n">
        <f aca="false">COUNTIF('📊 Data'!D5:D14,"Partial Fail")</f>
        <v>0</v>
      </c>
      <c r="D6" s="12" t="n">
        <f aca="false">COUNTIF('📊 Data'!G5:G14,"Partial Fail")</f>
        <v>0</v>
      </c>
      <c r="E6" s="12" t="n">
        <f aca="false">COUNTIF('📊 Data'!J5:J14,"Partial Fail")</f>
        <v>0</v>
      </c>
      <c r="F6" s="12" t="n">
        <f aca="false">COUNTIF('📊 Data'!M5:M14,"Partial Fail")</f>
        <v>0</v>
      </c>
      <c r="G6" s="12" t="n">
        <f aca="false">COUNTIF('📊 Data'!P5:P14,"Partial Fail")</f>
        <v>0</v>
      </c>
    </row>
    <row r="7" customFormat="false" ht="24" hidden="false" customHeight="true" outlineLevel="0" collapsed="false">
      <c r="B7" s="10" t="s">
        <v>11</v>
      </c>
      <c r="C7" s="11" t="n">
        <f aca="false">COUNTIF('📊 Data'!D5:D14,"Fail")</f>
        <v>0</v>
      </c>
      <c r="D7" s="11" t="n">
        <f aca="false">COUNTIF('📊 Data'!G5:G14,"Fail")</f>
        <v>0</v>
      </c>
      <c r="E7" s="11" t="n">
        <f aca="false">COUNTIF('📊 Data'!J5:J14,"Fail")</f>
        <v>0</v>
      </c>
      <c r="F7" s="11" t="n">
        <f aca="false">COUNTIF('📊 Data'!M5:M14,"Fail")</f>
        <v>0</v>
      </c>
      <c r="G7" s="11" t="n">
        <f aca="false">COUNTIF('📊 Data'!P5:P14,"Fail")</f>
        <v>0</v>
      </c>
    </row>
    <row r="8" customFormat="false" ht="24" hidden="false" customHeight="true" outlineLevel="0" collapsed="false">
      <c r="B8" s="10" t="s">
        <v>12</v>
      </c>
      <c r="C8" s="12" t="n">
        <f aca="false">COUNTIF('📊 Data'!D5:D14,"Time Limit")</f>
        <v>0</v>
      </c>
      <c r="D8" s="12" t="n">
        <f aca="false">COUNTIF('📊 Data'!G5:G14,"Time Limit")</f>
        <v>0</v>
      </c>
      <c r="E8" s="12" t="n">
        <f aca="false">COUNTIF('📊 Data'!J5:J14,"Time Limit")</f>
        <v>0</v>
      </c>
      <c r="F8" s="12" t="n">
        <f aca="false">COUNTIF('📊 Data'!M5:M14,"Time Limit")</f>
        <v>0</v>
      </c>
      <c r="G8" s="12" t="n">
        <f aca="false">COUNTIF('📊 Data'!P5:P14,"Time Limit")</f>
        <v>0</v>
      </c>
    </row>
    <row r="9" customFormat="false" ht="24" hidden="false" customHeight="true" outlineLevel="0" collapsed="false">
      <c r="B9" s="10" t="s">
        <v>13</v>
      </c>
      <c r="C9" s="11" t="n">
        <f aca="false">COUNTIF('📊 Data'!D5:D14,"Give Up")</f>
        <v>0</v>
      </c>
      <c r="D9" s="11" t="n">
        <f aca="false">COUNTIF('📊 Data'!G5:G14,"Give Up")</f>
        <v>0</v>
      </c>
      <c r="E9" s="11" t="n">
        <f aca="false">COUNTIF('📊 Data'!J5:J14,"Give Up")</f>
        <v>0</v>
      </c>
      <c r="F9" s="11" t="n">
        <f aca="false">COUNTIF('📊 Data'!M5:M14,"Give Up")</f>
        <v>0</v>
      </c>
      <c r="G9" s="11" t="n">
        <f aca="false">COUNTIF('📊 Data'!P5:P14,"Give Up")</f>
        <v>0</v>
      </c>
    </row>
    <row r="10" customFormat="false" ht="24" hidden="false" customHeight="true" outlineLevel="0" collapsed="false">
      <c r="B10" s="10" t="s">
        <v>14</v>
      </c>
      <c r="C10" s="12" t="n">
        <f aca="false">COUNTIF('📊 Data'!D5:D14,"Technical Issues")</f>
        <v>0</v>
      </c>
      <c r="D10" s="12" t="n">
        <f aca="false">COUNTIF('📊 Data'!G5:G14,"Technical Issues")</f>
        <v>0</v>
      </c>
      <c r="E10" s="12" t="n">
        <f aca="false">COUNTIF('📊 Data'!J5:J14,"Technical Issues")</f>
        <v>0</v>
      </c>
      <c r="F10" s="12" t="n">
        <f aca="false">COUNTIF('📊 Data'!M5:M14,"Technical Issues")</f>
        <v>0</v>
      </c>
      <c r="G10" s="12" t="n">
        <f aca="false">COUNTIF('📊 Data'!P5:P14,"Technical Issues")</f>
        <v>0</v>
      </c>
    </row>
    <row r="11" customFormat="false" ht="24" hidden="false" customHeight="true" outlineLevel="0" collapsed="false">
      <c r="B11" s="10" t="s">
        <v>15</v>
      </c>
      <c r="C11" s="11" t="n">
        <f aca="false">COUNTIF('📊 Data'!D5:D14,"Other")</f>
        <v>0</v>
      </c>
      <c r="D11" s="11" t="n">
        <f aca="false">COUNTIF('📊 Data'!G5:G14,"Other")</f>
        <v>0</v>
      </c>
      <c r="E11" s="11" t="n">
        <f aca="false">COUNTIF('📊 Data'!J5:J14,"Other")</f>
        <v>0</v>
      </c>
      <c r="F11" s="11" t="n">
        <f aca="false">COUNTIF('📊 Data'!M5:M14,"Other")</f>
        <v>0</v>
      </c>
      <c r="G11" s="11" t="n">
        <f aca="false">COUNTIF('📊 Data'!P5:P14,"Other")</f>
        <v>0</v>
      </c>
    </row>
    <row r="12" customFormat="false" ht="24" hidden="false" customHeight="true" outlineLevel="0" collapsed="false">
      <c r="B12" s="10" t="s">
        <v>16</v>
      </c>
      <c r="C12" s="12" t="n">
        <f aca="false">COUNTA('📊 Data'!D5:D14)</f>
        <v>0</v>
      </c>
      <c r="D12" s="12" t="n">
        <f aca="false">COUNTA('📊 Data'!G5:G14)</f>
        <v>0</v>
      </c>
      <c r="E12" s="12" t="n">
        <f aca="false">COUNTA('📊 Data'!J5:J14)</f>
        <v>0</v>
      </c>
      <c r="F12" s="12" t="n">
        <f aca="false">COUNTA('📊 Data'!M5:M14)</f>
        <v>0</v>
      </c>
      <c r="G12" s="12" t="n">
        <f aca="false">COUNTA('📊 Data'!P5:P14)</f>
        <v>0</v>
      </c>
    </row>
    <row r="13" customFormat="false" ht="24" hidden="false" customHeight="true" outlineLevel="0" collapsed="false">
      <c r="B13" s="10" t="s">
        <v>17</v>
      </c>
      <c r="C13" s="13" t="str">
        <f aca="false">IFERROR(COUNTIF('📊 Data'!D5:D14,"Success")/COUNTA('📊 Data'!D5:D14),"")</f>
        <v/>
      </c>
      <c r="D13" s="13" t="str">
        <f aca="false">IFERROR(COUNTIF('📊 Data'!G5:G14,"Success")/COUNTA('📊 Data'!G5:G14),"")</f>
        <v/>
      </c>
      <c r="E13" s="13" t="str">
        <f aca="false">IFERROR(COUNTIF('📊 Data'!J5:J14,"Success")/COUNTA('📊 Data'!J5:J14),"")</f>
        <v/>
      </c>
      <c r="F13" s="13" t="str">
        <f aca="false">IFERROR(COUNTIF('📊 Data'!M5:M14,"Success")/COUNTA('📊 Data'!M5:M14),"")</f>
        <v/>
      </c>
      <c r="G13" s="13" t="str">
        <f aca="false">IFERROR(COUNTIF('📊 Data'!P5:P14,"Success")/COUNTA('📊 Data'!P5:P14),"")</f>
        <v/>
      </c>
    </row>
    <row r="15" customFormat="false" ht="24" hidden="false" customHeight="true" outlineLevel="0" collapsed="false">
      <c r="B15" s="3" t="s">
        <v>18</v>
      </c>
      <c r="C15" s="3"/>
      <c r="D15" s="3"/>
      <c r="E15" s="3"/>
      <c r="F15" s="3"/>
      <c r="G15" s="3"/>
    </row>
    <row r="16" customFormat="false" ht="30" hidden="false" customHeight="true" outlineLevel="0" collapsed="false">
      <c r="B16" s="10" t="s">
        <v>19</v>
      </c>
      <c r="C16" s="14"/>
      <c r="D16" s="14"/>
      <c r="E16" s="14"/>
      <c r="F16" s="14"/>
      <c r="G16" s="14"/>
    </row>
    <row r="17" customFormat="false" ht="30" hidden="false" customHeight="true" outlineLevel="0" collapsed="false">
      <c r="B17" s="10" t="s">
        <v>20</v>
      </c>
      <c r="C17" s="15"/>
      <c r="D17" s="15"/>
      <c r="E17" s="15"/>
      <c r="F17" s="15"/>
      <c r="G17" s="15"/>
    </row>
    <row r="18" customFormat="false" ht="30" hidden="false" customHeight="true" outlineLevel="0" collapsed="false">
      <c r="B18" s="10" t="s">
        <v>21</v>
      </c>
      <c r="C18" s="16" t="str">
        <f aca="false">IFERROR(AVERAGE(C14:G14),"")</f>
        <v/>
      </c>
      <c r="D18" s="16"/>
      <c r="E18" s="16"/>
      <c r="F18" s="16"/>
      <c r="G18" s="16"/>
    </row>
    <row r="19" customFormat="false" ht="30" hidden="false" customHeight="true" outlineLevel="0" collapsed="false">
      <c r="B19" s="10" t="s">
        <v>22</v>
      </c>
      <c r="C19" s="15"/>
      <c r="D19" s="15"/>
      <c r="E19" s="15"/>
      <c r="F19" s="15"/>
      <c r="G19" s="15"/>
    </row>
    <row r="20" customFormat="false" ht="30" hidden="false" customHeight="true" outlineLevel="0" collapsed="false">
      <c r="B20" s="10" t="s">
        <v>23</v>
      </c>
      <c r="C20" s="14"/>
      <c r="D20" s="14"/>
      <c r="E20" s="14"/>
      <c r="F20" s="14"/>
      <c r="G20" s="14"/>
    </row>
    <row r="21" customFormat="false" ht="30" hidden="false" customHeight="true" outlineLevel="0" collapsed="false">
      <c r="B21" s="10" t="s">
        <v>24</v>
      </c>
      <c r="C21" s="15"/>
      <c r="D21" s="15"/>
      <c r="E21" s="15"/>
      <c r="F21" s="15"/>
      <c r="G21" s="15"/>
    </row>
    <row r="22" customFormat="false" ht="30" hidden="false" customHeight="true" outlineLevel="0" collapsed="false">
      <c r="B22" s="10" t="s">
        <v>25</v>
      </c>
      <c r="C22" s="14"/>
      <c r="D22" s="14"/>
      <c r="E22" s="14"/>
      <c r="F22" s="14"/>
      <c r="G22" s="14"/>
    </row>
    <row r="23" customFormat="false" ht="30" hidden="false" customHeight="true" outlineLevel="0" collapsed="false">
      <c r="B23" s="10" t="s">
        <v>26</v>
      </c>
      <c r="C23" s="15"/>
      <c r="D23" s="15"/>
      <c r="E23" s="15"/>
      <c r="F23" s="15"/>
      <c r="G23" s="15"/>
    </row>
  </sheetData>
  <mergeCells count="12">
    <mergeCell ref="B1:G1"/>
    <mergeCell ref="B2:G2"/>
    <mergeCell ref="B3:G3"/>
    <mergeCell ref="B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6" min="5" style="0" width="22"/>
  </cols>
  <sheetData>
    <row r="1" customFormat="false" ht="39.75" hidden="false" customHeight="true" outlineLevel="0" collapsed="false">
      <c r="B1" s="1" t="s">
        <v>27</v>
      </c>
      <c r="C1" s="1"/>
      <c r="D1" s="1"/>
      <c r="E1" s="1"/>
      <c r="F1" s="1"/>
    </row>
    <row r="2" customFormat="false" ht="21.75" hidden="false" customHeight="true" outlineLevel="0" collapsed="false">
      <c r="B2" s="17" t="s">
        <v>28</v>
      </c>
      <c r="C2" s="17"/>
      <c r="D2" s="17"/>
      <c r="E2" s="17"/>
      <c r="F2" s="17"/>
    </row>
    <row r="3" customFormat="false" ht="24" hidden="false" customHeight="true" outlineLevel="0" collapsed="false">
      <c r="B3" s="3" t="s">
        <v>29</v>
      </c>
      <c r="C3" s="3"/>
      <c r="D3" s="3"/>
      <c r="E3" s="3"/>
      <c r="F3" s="3"/>
    </row>
    <row r="4" customFormat="false" ht="21.75" hidden="false" customHeight="true" outlineLevel="0" collapsed="false">
      <c r="B4" s="10" t="s">
        <v>30</v>
      </c>
      <c r="C4" s="14"/>
      <c r="D4" s="14"/>
      <c r="E4" s="14"/>
      <c r="F4" s="14"/>
    </row>
    <row r="5" customFormat="false" ht="21.75" hidden="false" customHeight="true" outlineLevel="0" collapsed="false">
      <c r="B5" s="10" t="s">
        <v>31</v>
      </c>
      <c r="C5" s="14"/>
      <c r="D5" s="14"/>
      <c r="E5" s="14"/>
      <c r="F5" s="14"/>
    </row>
    <row r="6" customFormat="false" ht="21.75" hidden="false" customHeight="true" outlineLevel="0" collapsed="false">
      <c r="B6" s="10" t="s">
        <v>32</v>
      </c>
      <c r="C6" s="14"/>
      <c r="D6" s="14"/>
      <c r="E6" s="14"/>
      <c r="F6" s="14"/>
    </row>
    <row r="7" customFormat="false" ht="21.75" hidden="false" customHeight="true" outlineLevel="0" collapsed="false">
      <c r="B7" s="10" t="s">
        <v>33</v>
      </c>
      <c r="C7" s="14"/>
      <c r="D7" s="14"/>
      <c r="E7" s="14"/>
      <c r="F7" s="14"/>
    </row>
    <row r="8" customFormat="false" ht="21.75" hidden="false" customHeight="true" outlineLevel="0" collapsed="false">
      <c r="B8" s="10" t="s">
        <v>34</v>
      </c>
      <c r="C8" s="14"/>
      <c r="D8" s="14"/>
      <c r="E8" s="14"/>
      <c r="F8" s="14"/>
    </row>
    <row r="10" customFormat="false" ht="24" hidden="false" customHeight="true" outlineLevel="0" collapsed="false">
      <c r="B10" s="3" t="s">
        <v>35</v>
      </c>
      <c r="C10" s="3"/>
      <c r="D10" s="3"/>
      <c r="E10" s="3"/>
      <c r="F10" s="3"/>
    </row>
    <row r="11" customFormat="false" ht="30" hidden="false" customHeight="true" outlineLevel="0" collapsed="false"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customFormat="false" ht="42" hidden="false" customHeight="true" outlineLevel="0" collapsed="false">
      <c r="B12" s="18" t="s">
        <v>41</v>
      </c>
      <c r="C12" s="19" t="s">
        <v>42</v>
      </c>
      <c r="D12" s="19" t="s">
        <v>43</v>
      </c>
      <c r="E12" s="19" t="s">
        <v>44</v>
      </c>
      <c r="F12" s="18" t="s">
        <v>45</v>
      </c>
    </row>
    <row r="13" customFormat="false" ht="42" hidden="false" customHeight="true" outlineLevel="0" collapsed="false">
      <c r="B13" s="20" t="s">
        <v>46</v>
      </c>
      <c r="C13" s="21" t="s">
        <v>47</v>
      </c>
      <c r="D13" s="21" t="s">
        <v>48</v>
      </c>
      <c r="E13" s="21" t="s">
        <v>49</v>
      </c>
      <c r="F13" s="20" t="s">
        <v>45</v>
      </c>
    </row>
    <row r="14" customFormat="false" ht="42" hidden="false" customHeight="true" outlineLevel="0" collapsed="false">
      <c r="B14" s="18" t="s">
        <v>50</v>
      </c>
      <c r="C14" s="19" t="s">
        <v>51</v>
      </c>
      <c r="D14" s="19" t="s">
        <v>52</v>
      </c>
      <c r="E14" s="19" t="s">
        <v>53</v>
      </c>
      <c r="F14" s="18" t="s">
        <v>54</v>
      </c>
    </row>
    <row r="15" customFormat="false" ht="42" hidden="false" customHeight="true" outlineLevel="0" collapsed="false">
      <c r="B15" s="20" t="s">
        <v>55</v>
      </c>
      <c r="C15" s="21" t="s">
        <v>56</v>
      </c>
      <c r="D15" s="21" t="s">
        <v>57</v>
      </c>
      <c r="E15" s="21" t="s">
        <v>58</v>
      </c>
      <c r="F15" s="20" t="s">
        <v>54</v>
      </c>
    </row>
    <row r="16" customFormat="false" ht="42" hidden="false" customHeight="true" outlineLevel="0" collapsed="false">
      <c r="B16" s="18" t="s">
        <v>59</v>
      </c>
      <c r="C16" s="19"/>
      <c r="D16" s="19"/>
      <c r="E16" s="19"/>
      <c r="F16" s="18"/>
    </row>
    <row r="18" customFormat="false" ht="24" hidden="false" customHeight="true" outlineLevel="0" collapsed="false">
      <c r="B18" s="3" t="s">
        <v>60</v>
      </c>
      <c r="C18" s="3"/>
      <c r="D18" s="3"/>
      <c r="E18" s="3"/>
      <c r="F18" s="3"/>
    </row>
    <row r="19" customFormat="false" ht="15" hidden="false" customHeight="true" outlineLevel="0" collapsed="false">
      <c r="B19" s="4" t="s">
        <v>3</v>
      </c>
      <c r="C19" s="4" t="s">
        <v>61</v>
      </c>
      <c r="D19" s="4" t="s">
        <v>62</v>
      </c>
      <c r="E19" s="4"/>
      <c r="F19" s="4"/>
    </row>
    <row r="20" customFormat="false" ht="30" hidden="false" customHeight="true" outlineLevel="0" collapsed="false">
      <c r="B20" s="19" t="s">
        <v>63</v>
      </c>
      <c r="C20" s="19" t="s">
        <v>64</v>
      </c>
      <c r="D20" s="14" t="s">
        <v>65</v>
      </c>
      <c r="E20" s="14"/>
      <c r="F20" s="14"/>
    </row>
    <row r="21" customFormat="false" ht="30" hidden="false" customHeight="true" outlineLevel="0" collapsed="false">
      <c r="B21" s="21" t="s">
        <v>66</v>
      </c>
      <c r="C21" s="21" t="s">
        <v>67</v>
      </c>
      <c r="D21" s="15" t="s">
        <v>68</v>
      </c>
      <c r="E21" s="15"/>
      <c r="F21" s="15"/>
    </row>
    <row r="22" customFormat="false" ht="30" hidden="false" customHeight="true" outlineLevel="0" collapsed="false">
      <c r="B22" s="19" t="s">
        <v>69</v>
      </c>
      <c r="C22" s="19" t="s">
        <v>70</v>
      </c>
      <c r="D22" s="14" t="s">
        <v>71</v>
      </c>
      <c r="E22" s="14"/>
      <c r="F22" s="14"/>
    </row>
    <row r="23" customFormat="false" ht="30" hidden="false" customHeight="true" outlineLevel="0" collapsed="false">
      <c r="B23" s="21" t="s">
        <v>72</v>
      </c>
      <c r="C23" s="21" t="s">
        <v>73</v>
      </c>
      <c r="D23" s="15" t="s">
        <v>74</v>
      </c>
      <c r="E23" s="15"/>
      <c r="F23" s="15"/>
    </row>
    <row r="24" customFormat="false" ht="30" hidden="false" customHeight="true" outlineLevel="0" collapsed="false">
      <c r="B24" s="19" t="s">
        <v>75</v>
      </c>
      <c r="C24" s="19" t="s">
        <v>76</v>
      </c>
      <c r="D24" s="14" t="s">
        <v>77</v>
      </c>
      <c r="E24" s="14"/>
      <c r="F24" s="14"/>
    </row>
    <row r="25" customFormat="false" ht="30" hidden="false" customHeight="true" outlineLevel="0" collapsed="false">
      <c r="B25" s="21" t="s">
        <v>78</v>
      </c>
      <c r="C25" s="21" t="s">
        <v>79</v>
      </c>
      <c r="D25" s="15" t="s">
        <v>80</v>
      </c>
      <c r="E25" s="15"/>
      <c r="F25" s="15"/>
    </row>
  </sheetData>
  <mergeCells count="17">
    <mergeCell ref="B1:F1"/>
    <mergeCell ref="B2:F2"/>
    <mergeCell ref="B3:F3"/>
    <mergeCell ref="C4:F4"/>
    <mergeCell ref="C5:F5"/>
    <mergeCell ref="C6:F6"/>
    <mergeCell ref="C7:F7"/>
    <mergeCell ref="C8:F8"/>
    <mergeCell ref="B10:F10"/>
    <mergeCell ref="B18:F18"/>
    <mergeCell ref="D19:F19"/>
    <mergeCell ref="D20:F20"/>
    <mergeCell ref="D21:F21"/>
    <mergeCell ref="D22:F22"/>
    <mergeCell ref="D23:F23"/>
    <mergeCell ref="D24:F24"/>
    <mergeCell ref="D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6"/>
    <col collapsed="false" customWidth="true" hidden="false" outlineLevel="0" max="9" min="9" style="0" width="26"/>
  </cols>
  <sheetData>
    <row r="1" customFormat="false" ht="39.75" hidden="false" customHeight="true" outlineLevel="0" collapsed="false">
      <c r="B1" s="1" t="s">
        <v>81</v>
      </c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B2" s="2" t="s">
        <v>82</v>
      </c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B3" s="4" t="s">
        <v>83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  <c r="H3" s="4" t="s">
        <v>89</v>
      </c>
      <c r="I3" s="4" t="s">
        <v>90</v>
      </c>
    </row>
    <row r="4" customFormat="false" ht="51.75" hidden="false" customHeight="true" outlineLevel="0" collapsed="false">
      <c r="B4" s="18" t="s">
        <v>91</v>
      </c>
      <c r="C4" s="19" t="s">
        <v>92</v>
      </c>
      <c r="D4" s="19" t="s">
        <v>93</v>
      </c>
      <c r="E4" s="19" t="s">
        <v>94</v>
      </c>
      <c r="F4" s="19" t="s">
        <v>95</v>
      </c>
      <c r="G4" s="18" t="s">
        <v>96</v>
      </c>
      <c r="H4" s="18" t="s">
        <v>97</v>
      </c>
      <c r="I4" s="19"/>
    </row>
    <row r="5" customFormat="false" ht="51.75" hidden="false" customHeight="true" outlineLevel="0" collapsed="false">
      <c r="B5" s="20" t="s">
        <v>98</v>
      </c>
      <c r="C5" s="21" t="s">
        <v>99</v>
      </c>
      <c r="D5" s="21" t="s">
        <v>100</v>
      </c>
      <c r="E5" s="21" t="s">
        <v>101</v>
      </c>
      <c r="F5" s="21" t="s">
        <v>102</v>
      </c>
      <c r="G5" s="20" t="s">
        <v>103</v>
      </c>
      <c r="H5" s="20" t="s">
        <v>54</v>
      </c>
      <c r="I5" s="21" t="s">
        <v>104</v>
      </c>
    </row>
    <row r="6" customFormat="false" ht="51.75" hidden="false" customHeight="true" outlineLevel="0" collapsed="false">
      <c r="B6" s="18" t="s">
        <v>105</v>
      </c>
      <c r="C6" s="19" t="s">
        <v>106</v>
      </c>
      <c r="D6" s="19" t="s">
        <v>107</v>
      </c>
      <c r="E6" s="19" t="s">
        <v>108</v>
      </c>
      <c r="F6" s="19" t="s">
        <v>109</v>
      </c>
      <c r="G6" s="18" t="s">
        <v>110</v>
      </c>
      <c r="H6" s="18" t="s">
        <v>97</v>
      </c>
      <c r="I6" s="19"/>
    </row>
    <row r="7" customFormat="false" ht="51.75" hidden="false" customHeight="true" outlineLevel="0" collapsed="false">
      <c r="B7" s="20" t="s">
        <v>111</v>
      </c>
      <c r="C7" s="21" t="s">
        <v>112</v>
      </c>
      <c r="D7" s="21" t="s">
        <v>113</v>
      </c>
      <c r="E7" s="21" t="s">
        <v>114</v>
      </c>
      <c r="F7" s="21" t="s">
        <v>115</v>
      </c>
      <c r="G7" s="20" t="s">
        <v>103</v>
      </c>
      <c r="H7" s="20" t="s">
        <v>116</v>
      </c>
      <c r="I7" s="21" t="s">
        <v>117</v>
      </c>
    </row>
    <row r="8" customFormat="false" ht="51.75" hidden="false" customHeight="true" outlineLevel="0" collapsed="false">
      <c r="B8" s="18" t="s">
        <v>118</v>
      </c>
      <c r="C8" s="19" t="s">
        <v>119</v>
      </c>
      <c r="D8" s="19" t="s">
        <v>120</v>
      </c>
      <c r="E8" s="19" t="s">
        <v>121</v>
      </c>
      <c r="F8" s="19" t="s">
        <v>122</v>
      </c>
      <c r="G8" s="18" t="s">
        <v>96</v>
      </c>
      <c r="H8" s="18" t="s">
        <v>54</v>
      </c>
      <c r="I8" s="19"/>
    </row>
    <row r="9" customFormat="false" ht="51.75" hidden="false" customHeight="true" outlineLevel="0" collapsed="false">
      <c r="B9" s="21"/>
      <c r="C9" s="21"/>
      <c r="D9" s="21"/>
      <c r="E9" s="21"/>
      <c r="F9" s="21"/>
      <c r="G9" s="21"/>
      <c r="H9" s="21"/>
      <c r="I9" s="21"/>
    </row>
    <row r="10" customFormat="false" ht="51.75" hidden="false" customHeight="true" outlineLevel="0" collapsed="false">
      <c r="B10" s="19"/>
      <c r="C10" s="19"/>
      <c r="D10" s="19"/>
      <c r="E10" s="19"/>
      <c r="F10" s="19"/>
      <c r="G10" s="19"/>
      <c r="H10" s="19"/>
      <c r="I10" s="19"/>
    </row>
    <row r="11" customFormat="false" ht="51.75" hidden="false" customHeight="true" outlineLevel="0" collapsed="false">
      <c r="B11" s="21"/>
      <c r="C11" s="21"/>
      <c r="D11" s="21"/>
      <c r="E11" s="21"/>
      <c r="F11" s="21"/>
      <c r="G11" s="21"/>
      <c r="H11" s="21"/>
      <c r="I11" s="21"/>
    </row>
    <row r="13" customFormat="false" ht="24" hidden="false" customHeight="true" outlineLevel="0" collapsed="false">
      <c r="B13" s="3" t="s">
        <v>123</v>
      </c>
      <c r="C13" s="3"/>
      <c r="D13" s="3"/>
      <c r="E13" s="3"/>
      <c r="F13" s="3"/>
      <c r="G13" s="3"/>
      <c r="H13" s="3"/>
      <c r="I13" s="3"/>
    </row>
    <row r="14" customFormat="false" ht="36" hidden="false" customHeight="true" outlineLevel="0" collapsed="false">
      <c r="B14" s="10" t="s">
        <v>124</v>
      </c>
      <c r="C14" s="14" t="s">
        <v>125</v>
      </c>
      <c r="D14" s="14"/>
      <c r="E14" s="14"/>
      <c r="F14" s="14"/>
      <c r="G14" s="14"/>
      <c r="H14" s="14"/>
      <c r="I14" s="14"/>
    </row>
    <row r="15" customFormat="false" ht="36" hidden="false" customHeight="true" outlineLevel="0" collapsed="false">
      <c r="B15" s="10" t="s">
        <v>126</v>
      </c>
      <c r="C15" s="15" t="s">
        <v>127</v>
      </c>
      <c r="D15" s="15"/>
      <c r="E15" s="15"/>
      <c r="F15" s="15"/>
      <c r="G15" s="15"/>
      <c r="H15" s="15"/>
      <c r="I15" s="15"/>
    </row>
    <row r="16" customFormat="false" ht="36" hidden="false" customHeight="true" outlineLevel="0" collapsed="false">
      <c r="B16" s="10" t="s">
        <v>128</v>
      </c>
      <c r="C16" s="14" t="s">
        <v>129</v>
      </c>
      <c r="D16" s="14"/>
      <c r="E16" s="14"/>
      <c r="F16" s="14"/>
      <c r="G16" s="14"/>
      <c r="H16" s="14"/>
      <c r="I16" s="14"/>
    </row>
    <row r="17" customFormat="false" ht="36" hidden="false" customHeight="true" outlineLevel="0" collapsed="false">
      <c r="B17" s="10" t="s">
        <v>130</v>
      </c>
      <c r="C17" s="15" t="s">
        <v>131</v>
      </c>
      <c r="D17" s="15"/>
      <c r="E17" s="15"/>
      <c r="F17" s="15"/>
      <c r="G17" s="15"/>
      <c r="H17" s="15"/>
      <c r="I17" s="15"/>
    </row>
  </sheetData>
  <mergeCells count="7">
    <mergeCell ref="B1:I1"/>
    <mergeCell ref="B2:I2"/>
    <mergeCell ref="B13:I13"/>
    <mergeCell ref="C14:I14"/>
    <mergeCell ref="C15:I15"/>
    <mergeCell ref="C16:I16"/>
    <mergeCell ref="C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8" min="7" style="0" width="14"/>
    <col collapsed="false" customWidth="true" hidden="false" outlineLevel="0" max="10" min="9" style="0" width="20"/>
    <col collapsed="false" customWidth="true" hidden="false" outlineLevel="0" max="12" min="11" style="0" width="26"/>
  </cols>
  <sheetData>
    <row r="1" customFormat="false" ht="39.75" hidden="false" customHeight="true" outlineLevel="0" collapsed="false">
      <c r="B1" s="1" t="s">
        <v>132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B2" s="2" t="s">
        <v>133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B3" s="3" t="s">
        <v>134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4" hidden="false" customHeight="true" outlineLevel="0" collapsed="false">
      <c r="B4" s="10" t="s">
        <v>135</v>
      </c>
      <c r="C4" s="14" t="s">
        <v>136</v>
      </c>
      <c r="D4" s="14"/>
      <c r="E4" s="14"/>
      <c r="F4" s="14"/>
      <c r="G4" s="14"/>
      <c r="H4" s="14"/>
      <c r="I4" s="14"/>
      <c r="J4" s="14"/>
      <c r="K4" s="14"/>
      <c r="L4" s="14"/>
    </row>
    <row r="5" customFormat="false" ht="24" hidden="false" customHeight="true" outlineLevel="0" collapsed="false">
      <c r="B5" s="10" t="s">
        <v>137</v>
      </c>
      <c r="C5" s="15" t="s">
        <v>138</v>
      </c>
      <c r="D5" s="15"/>
      <c r="E5" s="15"/>
      <c r="F5" s="15"/>
      <c r="G5" s="15"/>
      <c r="H5" s="15"/>
      <c r="I5" s="15"/>
      <c r="J5" s="15"/>
      <c r="K5" s="15"/>
      <c r="L5" s="15"/>
    </row>
    <row r="6" customFormat="false" ht="24" hidden="false" customHeight="true" outlineLevel="0" collapsed="false">
      <c r="B6" s="10" t="s">
        <v>139</v>
      </c>
      <c r="C6" s="14" t="s">
        <v>140</v>
      </c>
      <c r="D6" s="14"/>
      <c r="E6" s="14"/>
      <c r="F6" s="14"/>
      <c r="G6" s="14"/>
      <c r="H6" s="14"/>
      <c r="I6" s="14"/>
      <c r="J6" s="14"/>
      <c r="K6" s="14"/>
      <c r="L6" s="14"/>
    </row>
    <row r="7" customFormat="false" ht="24" hidden="false" customHeight="true" outlineLevel="0" collapsed="false">
      <c r="B7" s="10" t="s">
        <v>141</v>
      </c>
      <c r="C7" s="15" t="s">
        <v>142</v>
      </c>
      <c r="D7" s="15"/>
      <c r="E7" s="15"/>
      <c r="F7" s="15"/>
      <c r="G7" s="15"/>
      <c r="H7" s="15"/>
      <c r="I7" s="15"/>
      <c r="J7" s="15"/>
      <c r="K7" s="15"/>
      <c r="L7" s="15"/>
    </row>
    <row r="8" customFormat="false" ht="24" hidden="false" customHeight="true" outlineLevel="0" collapsed="false">
      <c r="B8" s="10" t="s">
        <v>143</v>
      </c>
      <c r="C8" s="14" t="s">
        <v>144</v>
      </c>
      <c r="D8" s="14"/>
      <c r="E8" s="14"/>
      <c r="F8" s="14"/>
      <c r="G8" s="14"/>
      <c r="H8" s="14"/>
      <c r="I8" s="14"/>
      <c r="J8" s="14"/>
      <c r="K8" s="14"/>
      <c r="L8" s="14"/>
    </row>
    <row r="9" customFormat="false" ht="24" hidden="false" customHeight="true" outlineLevel="0" collapsed="false">
      <c r="B9" s="10" t="s">
        <v>145</v>
      </c>
      <c r="C9" s="15" t="s">
        <v>146</v>
      </c>
      <c r="D9" s="15"/>
      <c r="E9" s="15"/>
      <c r="F9" s="15"/>
      <c r="G9" s="15"/>
      <c r="H9" s="15"/>
      <c r="I9" s="15"/>
      <c r="J9" s="15"/>
      <c r="K9" s="15"/>
      <c r="L9" s="15"/>
    </row>
    <row r="10" customFormat="false" ht="24" hidden="false" customHeight="true" outlineLevel="0" collapsed="false">
      <c r="B10" s="10" t="s">
        <v>147</v>
      </c>
      <c r="C10" s="14" t="s">
        <v>148</v>
      </c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24" hidden="false" customHeight="true" outlineLevel="0" collapsed="false">
      <c r="B11" s="10" t="s">
        <v>149</v>
      </c>
      <c r="C11" s="15" t="s">
        <v>150</v>
      </c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24" hidden="false" customHeight="true" outlineLevel="0" collapsed="false">
      <c r="B12" s="10" t="s">
        <v>151</v>
      </c>
      <c r="C12" s="14" t="s">
        <v>152</v>
      </c>
      <c r="D12" s="14"/>
      <c r="E12" s="14"/>
      <c r="F12" s="14"/>
      <c r="G12" s="14"/>
      <c r="H12" s="14"/>
      <c r="I12" s="14"/>
      <c r="J12" s="14"/>
      <c r="K12" s="14"/>
      <c r="L12" s="14"/>
    </row>
    <row r="14" customFormat="false" ht="24" hidden="false" customHeight="true" outlineLevel="0" collapsed="false">
      <c r="B14" s="3" t="s">
        <v>153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30" hidden="false" customHeight="true" outlineLevel="0" collapsed="false">
      <c r="B15" s="4" t="s">
        <v>154</v>
      </c>
      <c r="C15" s="4" t="s">
        <v>155</v>
      </c>
      <c r="D15" s="4" t="s">
        <v>156</v>
      </c>
      <c r="E15" s="4" t="s">
        <v>157</v>
      </c>
      <c r="F15" s="4" t="s">
        <v>158</v>
      </c>
      <c r="G15" s="4" t="s">
        <v>159</v>
      </c>
      <c r="H15" s="4" t="s">
        <v>143</v>
      </c>
      <c r="I15" s="4" t="s">
        <v>139</v>
      </c>
      <c r="J15" s="4" t="s">
        <v>160</v>
      </c>
      <c r="K15" s="4" t="s">
        <v>161</v>
      </c>
      <c r="L15" s="4" t="s">
        <v>162</v>
      </c>
    </row>
    <row r="16" customFormat="false" ht="21.75" hidden="false" customHeight="true" outlineLevel="0" collapsed="false">
      <c r="B16" s="18" t="s">
        <v>163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customFormat="false" ht="21.75" hidden="false" customHeight="true" outlineLevel="0" collapsed="false">
      <c r="B17" s="20" t="s">
        <v>164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customFormat="false" ht="21.75" hidden="false" customHeight="true" outlineLevel="0" collapsed="false">
      <c r="B18" s="18" t="s">
        <v>165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customFormat="false" ht="21.75" hidden="false" customHeight="true" outlineLevel="0" collapsed="false">
      <c r="B19" s="20" t="s">
        <v>166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customFormat="false" ht="21.75" hidden="false" customHeight="true" outlineLevel="0" collapsed="false">
      <c r="B20" s="18" t="s">
        <v>167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customFormat="false" ht="21.75" hidden="false" customHeight="true" outlineLevel="0" collapsed="false">
      <c r="B21" s="20" t="s">
        <v>168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customFormat="false" ht="21.75" hidden="false" customHeight="true" outlineLevel="0" collapsed="false">
      <c r="B22" s="18" t="s">
        <v>169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customFormat="false" ht="21.75" hidden="false" customHeight="true" outlineLevel="0" collapsed="false">
      <c r="B23" s="20" t="s">
        <v>170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customFormat="false" ht="21.75" hidden="false" customHeight="true" outlineLevel="0" collapsed="false">
      <c r="B24" s="18" t="s">
        <v>171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customFormat="false" ht="21.75" hidden="false" customHeight="true" outlineLevel="0" collapsed="false">
      <c r="B25" s="20" t="s">
        <v>172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6" customFormat="false" ht="21.75" hidden="false" customHeight="true" outlineLevel="0" collapsed="false">
      <c r="B26" s="18" t="s">
        <v>173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</row>
  </sheetData>
  <mergeCells count="13">
    <mergeCell ref="B1:L1"/>
    <mergeCell ref="B2:L2"/>
    <mergeCell ref="B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B14:L14"/>
  </mergeCells>
  <dataValidations count="4">
    <dataValidation allowBlank="true" errorStyle="stop" operator="between" showDropDown="false" showErrorMessage="false" showInputMessage="false" sqref="E16:E26" type="list">
      <formula1>"Canada,United States,United Kingdom,Australia,Germany,France,Other"</formula1>
      <formula2>0</formula2>
    </dataValidation>
    <dataValidation allowBlank="true" errorStyle="stop" operator="between" showDropDown="false" showErrorMessage="false" showInputMessage="false" sqref="F16:F26" type="list">
      <formula1>"Desktop,Laptop,Tablet,Smartphone (iOS),Smartphone (Android),Other"</formula1>
      <formula2>0</formula2>
    </dataValidation>
    <dataValidation allowBlank="true" errorStyle="stop" operator="between" showDropDown="false" showErrorMessage="false" showInputMessage="false" sqref="G16:G26" type="list">
      <formula1>"Windows,macOS,iOS,Android,Linux,Other"</formula1>
      <formula2>0</formula2>
    </dataValidation>
    <dataValidation allowBlank="true" errorStyle="stop" operator="between" showDropDown="false" showErrorMessage="false" showInputMessage="false" sqref="I16:I26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12"/>
    <col collapsed="false" customWidth="true" hidden="false" outlineLevel="0" max="16" min="16" style="0" width="16"/>
    <col collapsed="false" customWidth="true" hidden="false" outlineLevel="0" max="17" min="17" style="0" width="30"/>
  </cols>
  <sheetData>
    <row r="1" customFormat="false" ht="39.75" hidden="false" customHeight="true" outlineLevel="0" collapsed="false">
      <c r="B1" s="1" t="s">
        <v>174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B2" s="2" t="s">
        <v>175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25.5" hidden="false" customHeight="true" outlineLevel="0" collapsed="false">
      <c r="B3" s="22"/>
      <c r="C3" s="23" t="s">
        <v>176</v>
      </c>
      <c r="D3" s="23"/>
      <c r="E3" s="23"/>
      <c r="F3" s="24" t="s">
        <v>177</v>
      </c>
      <c r="G3" s="24"/>
      <c r="H3" s="24"/>
      <c r="I3" s="25" t="s">
        <v>178</v>
      </c>
      <c r="J3" s="25"/>
      <c r="K3" s="25"/>
      <c r="L3" s="26" t="s">
        <v>179</v>
      </c>
      <c r="M3" s="26"/>
      <c r="N3" s="26"/>
      <c r="O3" s="27" t="s">
        <v>180</v>
      </c>
      <c r="P3" s="27"/>
      <c r="Q3" s="27"/>
    </row>
    <row r="4" customFormat="false" ht="30" hidden="false" customHeight="true" outlineLevel="0" collapsed="false">
      <c r="B4" s="28" t="s">
        <v>154</v>
      </c>
      <c r="C4" s="5" t="s">
        <v>181</v>
      </c>
      <c r="D4" s="5" t="s">
        <v>182</v>
      </c>
      <c r="E4" s="5" t="s">
        <v>183</v>
      </c>
      <c r="F4" s="6" t="s">
        <v>181</v>
      </c>
      <c r="G4" s="6" t="s">
        <v>182</v>
      </c>
      <c r="H4" s="6" t="s">
        <v>183</v>
      </c>
      <c r="I4" s="7" t="s">
        <v>181</v>
      </c>
      <c r="J4" s="7" t="s">
        <v>182</v>
      </c>
      <c r="K4" s="7" t="s">
        <v>183</v>
      </c>
      <c r="L4" s="8" t="s">
        <v>181</v>
      </c>
      <c r="M4" s="8" t="s">
        <v>182</v>
      </c>
      <c r="N4" s="8" t="s">
        <v>183</v>
      </c>
      <c r="O4" s="9" t="s">
        <v>181</v>
      </c>
      <c r="P4" s="9" t="s">
        <v>182</v>
      </c>
      <c r="Q4" s="9" t="s">
        <v>183</v>
      </c>
    </row>
    <row r="5" customFormat="false" ht="51.75" hidden="false" customHeight="true" outlineLevel="0" collapsed="false">
      <c r="B5" s="18" t="s">
        <v>163</v>
      </c>
      <c r="C5" s="18"/>
      <c r="D5" s="18"/>
      <c r="E5" s="19"/>
      <c r="F5" s="18"/>
      <c r="G5" s="18"/>
      <c r="H5" s="19"/>
      <c r="I5" s="18"/>
      <c r="J5" s="18"/>
      <c r="K5" s="19"/>
      <c r="L5" s="18"/>
      <c r="M5" s="18"/>
      <c r="N5" s="19"/>
      <c r="O5" s="18"/>
      <c r="P5" s="18"/>
      <c r="Q5" s="19"/>
    </row>
    <row r="6" customFormat="false" ht="51.75" hidden="false" customHeight="true" outlineLevel="0" collapsed="false">
      <c r="B6" s="20" t="s">
        <v>164</v>
      </c>
      <c r="C6" s="20"/>
      <c r="D6" s="20"/>
      <c r="E6" s="21"/>
      <c r="F6" s="20"/>
      <c r="G6" s="20"/>
      <c r="H6" s="21"/>
      <c r="I6" s="20"/>
      <c r="J6" s="20"/>
      <c r="K6" s="21"/>
      <c r="L6" s="20"/>
      <c r="M6" s="20"/>
      <c r="N6" s="21"/>
      <c r="O6" s="20"/>
      <c r="P6" s="20"/>
      <c r="Q6" s="21"/>
    </row>
    <row r="7" customFormat="false" ht="51.75" hidden="false" customHeight="true" outlineLevel="0" collapsed="false">
      <c r="B7" s="18" t="s">
        <v>165</v>
      </c>
      <c r="C7" s="18"/>
      <c r="D7" s="18"/>
      <c r="E7" s="19"/>
      <c r="F7" s="18"/>
      <c r="G7" s="18"/>
      <c r="H7" s="19"/>
      <c r="I7" s="18"/>
      <c r="J7" s="18"/>
      <c r="K7" s="19"/>
      <c r="L7" s="18"/>
      <c r="M7" s="18"/>
      <c r="N7" s="19"/>
      <c r="O7" s="18"/>
      <c r="P7" s="18"/>
      <c r="Q7" s="19"/>
    </row>
    <row r="8" customFormat="false" ht="51.75" hidden="false" customHeight="true" outlineLevel="0" collapsed="false">
      <c r="B8" s="20" t="s">
        <v>166</v>
      </c>
      <c r="C8" s="20"/>
      <c r="D8" s="20"/>
      <c r="E8" s="21"/>
      <c r="F8" s="20"/>
      <c r="G8" s="20"/>
      <c r="H8" s="21"/>
      <c r="I8" s="20"/>
      <c r="J8" s="20"/>
      <c r="K8" s="21"/>
      <c r="L8" s="20"/>
      <c r="M8" s="20"/>
      <c r="N8" s="21"/>
      <c r="O8" s="20"/>
      <c r="P8" s="20"/>
      <c r="Q8" s="21"/>
    </row>
    <row r="9" customFormat="false" ht="51.75" hidden="false" customHeight="true" outlineLevel="0" collapsed="false">
      <c r="B9" s="18" t="s">
        <v>167</v>
      </c>
      <c r="C9" s="18"/>
      <c r="D9" s="18"/>
      <c r="E9" s="19"/>
      <c r="F9" s="18"/>
      <c r="G9" s="18"/>
      <c r="H9" s="19"/>
      <c r="I9" s="18"/>
      <c r="J9" s="18"/>
      <c r="K9" s="19"/>
      <c r="L9" s="18"/>
      <c r="M9" s="18"/>
      <c r="N9" s="19"/>
      <c r="O9" s="18"/>
      <c r="P9" s="18"/>
      <c r="Q9" s="19"/>
    </row>
    <row r="10" customFormat="false" ht="51.75" hidden="false" customHeight="true" outlineLevel="0" collapsed="false">
      <c r="B10" s="20" t="s">
        <v>168</v>
      </c>
      <c r="C10" s="20"/>
      <c r="D10" s="20"/>
      <c r="E10" s="21"/>
      <c r="F10" s="20"/>
      <c r="G10" s="20"/>
      <c r="H10" s="21"/>
      <c r="I10" s="20"/>
      <c r="J10" s="20"/>
      <c r="K10" s="21"/>
      <c r="L10" s="20"/>
      <c r="M10" s="20"/>
      <c r="N10" s="21"/>
      <c r="O10" s="20"/>
      <c r="P10" s="20"/>
      <c r="Q10" s="21"/>
    </row>
    <row r="11" customFormat="false" ht="51.75" hidden="false" customHeight="true" outlineLevel="0" collapsed="false">
      <c r="B11" s="18" t="s">
        <v>169</v>
      </c>
      <c r="C11" s="18"/>
      <c r="D11" s="18"/>
      <c r="E11" s="19"/>
      <c r="F11" s="18"/>
      <c r="G11" s="18"/>
      <c r="H11" s="19"/>
      <c r="I11" s="18"/>
      <c r="J11" s="18"/>
      <c r="K11" s="19"/>
      <c r="L11" s="18"/>
      <c r="M11" s="18"/>
      <c r="N11" s="19"/>
      <c r="O11" s="18"/>
      <c r="P11" s="18"/>
      <c r="Q11" s="19"/>
    </row>
    <row r="12" customFormat="false" ht="51.75" hidden="false" customHeight="true" outlineLevel="0" collapsed="false">
      <c r="B12" s="20" t="s">
        <v>170</v>
      </c>
      <c r="C12" s="20"/>
      <c r="D12" s="20"/>
      <c r="E12" s="21"/>
      <c r="F12" s="20"/>
      <c r="G12" s="20"/>
      <c r="H12" s="21"/>
      <c r="I12" s="20"/>
      <c r="J12" s="20"/>
      <c r="K12" s="21"/>
      <c r="L12" s="20"/>
      <c r="M12" s="20"/>
      <c r="N12" s="21"/>
      <c r="O12" s="20"/>
      <c r="P12" s="20"/>
      <c r="Q12" s="21"/>
    </row>
    <row r="13" customFormat="false" ht="51.75" hidden="false" customHeight="true" outlineLevel="0" collapsed="false">
      <c r="B13" s="18" t="s">
        <v>171</v>
      </c>
      <c r="C13" s="18"/>
      <c r="D13" s="18"/>
      <c r="E13" s="19"/>
      <c r="F13" s="18"/>
      <c r="G13" s="18"/>
      <c r="H13" s="19"/>
      <c r="I13" s="18"/>
      <c r="J13" s="18"/>
      <c r="K13" s="19"/>
      <c r="L13" s="18"/>
      <c r="M13" s="18"/>
      <c r="N13" s="19"/>
      <c r="O13" s="18"/>
      <c r="P13" s="18"/>
      <c r="Q13" s="19"/>
    </row>
    <row r="14" customFormat="false" ht="51.75" hidden="false" customHeight="true" outlineLevel="0" collapsed="false">
      <c r="B14" s="20" t="s">
        <v>172</v>
      </c>
      <c r="C14" s="20"/>
      <c r="D14" s="20"/>
      <c r="E14" s="21"/>
      <c r="F14" s="20"/>
      <c r="G14" s="20"/>
      <c r="H14" s="21"/>
      <c r="I14" s="20"/>
      <c r="J14" s="20"/>
      <c r="K14" s="21"/>
      <c r="L14" s="20"/>
      <c r="M14" s="20"/>
      <c r="N14" s="21"/>
      <c r="O14" s="20"/>
      <c r="P14" s="20"/>
      <c r="Q14" s="21"/>
    </row>
    <row r="15" customFormat="false" ht="51.75" hidden="false" customHeight="true" outlineLevel="0" collapsed="false">
      <c r="B15" s="18" t="s">
        <v>173</v>
      </c>
      <c r="C15" s="18"/>
      <c r="D15" s="18"/>
      <c r="E15" s="19"/>
      <c r="F15" s="18"/>
      <c r="G15" s="18"/>
      <c r="H15" s="19"/>
      <c r="I15" s="18"/>
      <c r="J15" s="18"/>
      <c r="K15" s="19"/>
      <c r="L15" s="18"/>
      <c r="M15" s="18"/>
      <c r="N15" s="19"/>
      <c r="O15" s="18"/>
      <c r="P15" s="18"/>
      <c r="Q15" s="19"/>
    </row>
    <row r="17" customFormat="false" ht="24" hidden="false" customHeight="true" outlineLevel="0" collapsed="false">
      <c r="B17" s="3" t="s">
        <v>184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customFormat="false" ht="27.75" hidden="false" customHeight="true" outlineLevel="0" collapsed="false">
      <c r="B18" s="29" t="s">
        <v>185</v>
      </c>
      <c r="C18" s="30" t="s">
        <v>186</v>
      </c>
      <c r="D18" s="30"/>
      <c r="F18" s="31" t="s">
        <v>187</v>
      </c>
      <c r="G18" s="30" t="s">
        <v>188</v>
      </c>
      <c r="H18" s="30"/>
    </row>
    <row r="19" customFormat="false" ht="27.75" hidden="false" customHeight="true" outlineLevel="0" collapsed="false">
      <c r="B19" s="32" t="s">
        <v>189</v>
      </c>
      <c r="C19" s="33" t="s">
        <v>190</v>
      </c>
      <c r="D19" s="33"/>
      <c r="F19" s="34" t="s">
        <v>191</v>
      </c>
      <c r="G19" s="33" t="s">
        <v>192</v>
      </c>
      <c r="H19" s="33"/>
    </row>
    <row r="20" customFormat="false" ht="27.75" hidden="false" customHeight="true" outlineLevel="0" collapsed="false">
      <c r="B20" s="35" t="s">
        <v>193</v>
      </c>
      <c r="C20" s="30" t="s">
        <v>194</v>
      </c>
      <c r="D20" s="30"/>
      <c r="F20" s="36" t="s">
        <v>195</v>
      </c>
      <c r="G20" s="30" t="s">
        <v>196</v>
      </c>
      <c r="H20" s="30"/>
    </row>
    <row r="21" customFormat="false" ht="27.75" hidden="false" customHeight="true" outlineLevel="0" collapsed="false">
      <c r="B21" s="37" t="s">
        <v>197</v>
      </c>
      <c r="C21" s="33" t="s">
        <v>198</v>
      </c>
      <c r="D21" s="33"/>
    </row>
  </sheetData>
  <mergeCells count="15">
    <mergeCell ref="B1:Q1"/>
    <mergeCell ref="B2:Q2"/>
    <mergeCell ref="C3:E3"/>
    <mergeCell ref="F3:H3"/>
    <mergeCell ref="I3:K3"/>
    <mergeCell ref="L3:N3"/>
    <mergeCell ref="O3:Q3"/>
    <mergeCell ref="B17:Q17"/>
    <mergeCell ref="C18:D18"/>
    <mergeCell ref="G18:H18"/>
    <mergeCell ref="C19:D19"/>
    <mergeCell ref="G19:H19"/>
    <mergeCell ref="C20:D20"/>
    <mergeCell ref="G20:H20"/>
    <mergeCell ref="C21:D21"/>
  </mergeCells>
  <conditionalFormatting sqref="D5:D15">
    <cfRule type="expression" priority="2" aboveAverage="0" equalAverage="0" bottom="0" percent="0" rank="0" text="" dxfId="0">
      <formula>D5="Success"</formula>
    </cfRule>
    <cfRule type="expression" priority="3" aboveAverage="0" equalAverage="0" bottom="0" percent="0" rank="0" text="" dxfId="1">
      <formula>D5="Partial Fail"</formula>
    </cfRule>
    <cfRule type="expression" priority="4" aboveAverage="0" equalAverage="0" bottom="0" percent="0" rank="0" text="" dxfId="2">
      <formula>D5="Fail"</formula>
    </cfRule>
    <cfRule type="expression" priority="5" aboveAverage="0" equalAverage="0" bottom="0" percent="0" rank="0" text="" dxfId="3">
      <formula>D5="Time Limit"</formula>
    </cfRule>
    <cfRule type="expression" priority="6" aboveAverage="0" equalAverage="0" bottom="0" percent="0" rank="0" text="" dxfId="4">
      <formula>D5="Give Up"</formula>
    </cfRule>
    <cfRule type="expression" priority="7" aboveAverage="0" equalAverage="0" bottom="0" percent="0" rank="0" text="" dxfId="5">
      <formula>D5="Technical Issues"</formula>
    </cfRule>
    <cfRule type="expression" priority="8" aboveAverage="0" equalAverage="0" bottom="0" percent="0" rank="0" text="" dxfId="6">
      <formula>D5="Other"</formula>
    </cfRule>
  </conditionalFormatting>
  <conditionalFormatting sqref="G5:G15">
    <cfRule type="expression" priority="9" aboveAverage="0" equalAverage="0" bottom="0" percent="0" rank="0" text="" dxfId="0">
      <formula>G5="Success"</formula>
    </cfRule>
    <cfRule type="expression" priority="10" aboveAverage="0" equalAverage="0" bottom="0" percent="0" rank="0" text="" dxfId="1">
      <formula>G5="Partial Fail"</formula>
    </cfRule>
    <cfRule type="expression" priority="11" aboveAverage="0" equalAverage="0" bottom="0" percent="0" rank="0" text="" dxfId="2">
      <formula>G5="Fail"</formula>
    </cfRule>
    <cfRule type="expression" priority="12" aboveAverage="0" equalAverage="0" bottom="0" percent="0" rank="0" text="" dxfId="3">
      <formula>G5="Time Limit"</formula>
    </cfRule>
    <cfRule type="expression" priority="13" aboveAverage="0" equalAverage="0" bottom="0" percent="0" rank="0" text="" dxfId="4">
      <formula>G5="Give Up"</formula>
    </cfRule>
    <cfRule type="expression" priority="14" aboveAverage="0" equalAverage="0" bottom="0" percent="0" rank="0" text="" dxfId="5">
      <formula>G5="Technical Issues"</formula>
    </cfRule>
    <cfRule type="expression" priority="15" aboveAverage="0" equalAverage="0" bottom="0" percent="0" rank="0" text="" dxfId="6">
      <formula>G5="Other"</formula>
    </cfRule>
  </conditionalFormatting>
  <conditionalFormatting sqref="J5:J15">
    <cfRule type="expression" priority="16" aboveAverage="0" equalAverage="0" bottom="0" percent="0" rank="0" text="" dxfId="0">
      <formula>J5="Success"</formula>
    </cfRule>
    <cfRule type="expression" priority="17" aboveAverage="0" equalAverage="0" bottom="0" percent="0" rank="0" text="" dxfId="1">
      <formula>J5="Partial Fail"</formula>
    </cfRule>
    <cfRule type="expression" priority="18" aboveAverage="0" equalAverage="0" bottom="0" percent="0" rank="0" text="" dxfId="2">
      <formula>J5="Fail"</formula>
    </cfRule>
    <cfRule type="expression" priority="19" aboveAverage="0" equalAverage="0" bottom="0" percent="0" rank="0" text="" dxfId="3">
      <formula>J5="Time Limit"</formula>
    </cfRule>
    <cfRule type="expression" priority="20" aboveAverage="0" equalAverage="0" bottom="0" percent="0" rank="0" text="" dxfId="4">
      <formula>J5="Give Up"</formula>
    </cfRule>
    <cfRule type="expression" priority="21" aboveAverage="0" equalAverage="0" bottom="0" percent="0" rank="0" text="" dxfId="5">
      <formula>J5="Technical Issues"</formula>
    </cfRule>
    <cfRule type="expression" priority="22" aboveAverage="0" equalAverage="0" bottom="0" percent="0" rank="0" text="" dxfId="6">
      <formula>J5="Other"</formula>
    </cfRule>
  </conditionalFormatting>
  <conditionalFormatting sqref="M5:M15">
    <cfRule type="expression" priority="23" aboveAverage="0" equalAverage="0" bottom="0" percent="0" rank="0" text="" dxfId="0">
      <formula>M5="Success"</formula>
    </cfRule>
    <cfRule type="expression" priority="24" aboveAverage="0" equalAverage="0" bottom="0" percent="0" rank="0" text="" dxfId="1">
      <formula>M5="Partial Fail"</formula>
    </cfRule>
    <cfRule type="expression" priority="25" aboveAverage="0" equalAverage="0" bottom="0" percent="0" rank="0" text="" dxfId="2">
      <formula>M5="Fail"</formula>
    </cfRule>
    <cfRule type="expression" priority="26" aboveAverage="0" equalAverage="0" bottom="0" percent="0" rank="0" text="" dxfId="3">
      <formula>M5="Time Limit"</formula>
    </cfRule>
    <cfRule type="expression" priority="27" aboveAverage="0" equalAverage="0" bottom="0" percent="0" rank="0" text="" dxfId="4">
      <formula>M5="Give Up"</formula>
    </cfRule>
    <cfRule type="expression" priority="28" aboveAverage="0" equalAverage="0" bottom="0" percent="0" rank="0" text="" dxfId="5">
      <formula>M5="Technical Issues"</formula>
    </cfRule>
    <cfRule type="expression" priority="29" aboveAverage="0" equalAverage="0" bottom="0" percent="0" rank="0" text="" dxfId="6">
      <formula>M5="Other"</formula>
    </cfRule>
  </conditionalFormatting>
  <conditionalFormatting sqref="P5:P15">
    <cfRule type="expression" priority="30" aboveAverage="0" equalAverage="0" bottom="0" percent="0" rank="0" text="" dxfId="0">
      <formula>P5="Success"</formula>
    </cfRule>
    <cfRule type="expression" priority="31" aboveAverage="0" equalAverage="0" bottom="0" percent="0" rank="0" text="" dxfId="1">
      <formula>P5="Partial Fail"</formula>
    </cfRule>
    <cfRule type="expression" priority="32" aboveAverage="0" equalAverage="0" bottom="0" percent="0" rank="0" text="" dxfId="2">
      <formula>P5="Fail"</formula>
    </cfRule>
    <cfRule type="expression" priority="33" aboveAverage="0" equalAverage="0" bottom="0" percent="0" rank="0" text="" dxfId="3">
      <formula>P5="Time Limit"</formula>
    </cfRule>
    <cfRule type="expression" priority="34" aboveAverage="0" equalAverage="0" bottom="0" percent="0" rank="0" text="" dxfId="4">
      <formula>P5="Give Up"</formula>
    </cfRule>
    <cfRule type="expression" priority="35" aboveAverage="0" equalAverage="0" bottom="0" percent="0" rank="0" text="" dxfId="5">
      <formula>P5="Technical Issues"</formula>
    </cfRule>
    <cfRule type="expression" priority="36" aboveAverage="0" equalAverage="0" bottom="0" percent="0" rank="0" text="" dxfId="6">
      <formula>P5="Other"</formula>
    </cfRule>
  </conditionalFormatting>
  <dataValidations count="1">
    <dataValidation allowBlank="true" errorStyle="stop" operator="between" showDropDown="false" showErrorMessage="false" showInputMessage="false" sqref="D5:D15 G5:G15 J5:J15 M5:M15 P5:P15" type="list">
      <formula1>"Success,Partial Fail,Fail,Time Limit,Give Up,Technical Issues,Other"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32"/>
  </cols>
  <sheetData>
    <row r="1" customFormat="false" ht="39.75" hidden="false" customHeight="true" outlineLevel="0" collapsed="false">
      <c r="B1" s="1" t="s">
        <v>199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200</v>
      </c>
      <c r="C2" s="2"/>
      <c r="D2" s="2"/>
      <c r="E2" s="2"/>
      <c r="F2" s="2"/>
      <c r="G2" s="2"/>
    </row>
    <row r="3" customFormat="false" ht="30" hidden="false" customHeight="true" outlineLevel="0" collapsed="false">
      <c r="B3" s="4" t="s">
        <v>201</v>
      </c>
      <c r="C3" s="5" t="s">
        <v>4</v>
      </c>
      <c r="D3" s="6" t="s">
        <v>5</v>
      </c>
      <c r="E3" s="7" t="s">
        <v>6</v>
      </c>
      <c r="F3" s="8" t="s">
        <v>7</v>
      </c>
      <c r="G3" s="9" t="s">
        <v>8</v>
      </c>
    </row>
    <row r="4" customFormat="false" ht="51.75" hidden="false" customHeight="true" outlineLevel="0" collapsed="false">
      <c r="B4" s="10" t="s">
        <v>202</v>
      </c>
      <c r="C4" s="38" t="s">
        <v>203</v>
      </c>
      <c r="D4" s="38" t="s">
        <v>203</v>
      </c>
      <c r="E4" s="38" t="s">
        <v>203</v>
      </c>
      <c r="F4" s="38" t="s">
        <v>203</v>
      </c>
      <c r="G4" s="38" t="s">
        <v>203</v>
      </c>
    </row>
    <row r="5" customFormat="false" ht="51.75" hidden="false" customHeight="true" outlineLevel="0" collapsed="false">
      <c r="B5" s="10" t="s">
        <v>204</v>
      </c>
      <c r="C5" s="39"/>
      <c r="D5" s="39"/>
      <c r="E5" s="39"/>
      <c r="F5" s="39"/>
      <c r="G5" s="39"/>
    </row>
    <row r="6" customFormat="false" ht="51.75" hidden="false" customHeight="true" outlineLevel="0" collapsed="false">
      <c r="B6" s="10" t="s">
        <v>205</v>
      </c>
      <c r="C6" s="38"/>
      <c r="D6" s="38"/>
      <c r="E6" s="38"/>
      <c r="F6" s="38"/>
      <c r="G6" s="38"/>
    </row>
    <row r="7" customFormat="false" ht="51.75" hidden="false" customHeight="true" outlineLevel="0" collapsed="false">
      <c r="B7" s="10" t="s">
        <v>206</v>
      </c>
      <c r="C7" s="39"/>
      <c r="D7" s="39"/>
      <c r="E7" s="39"/>
      <c r="F7" s="39"/>
      <c r="G7" s="39"/>
    </row>
    <row r="8" customFormat="false" ht="51.75" hidden="false" customHeight="true" outlineLevel="0" collapsed="false">
      <c r="B8" s="10" t="s">
        <v>207</v>
      </c>
      <c r="C8" s="38"/>
      <c r="D8" s="38"/>
      <c r="E8" s="38"/>
      <c r="F8" s="38"/>
      <c r="G8" s="38"/>
    </row>
    <row r="9" customFormat="false" ht="51.75" hidden="false" customHeight="true" outlineLevel="0" collapsed="false">
      <c r="B9" s="10" t="s">
        <v>208</v>
      </c>
      <c r="C9" s="39"/>
      <c r="D9" s="39"/>
      <c r="E9" s="39"/>
      <c r="F9" s="39"/>
      <c r="G9" s="39"/>
    </row>
    <row r="10" customFormat="false" ht="51.75" hidden="false" customHeight="true" outlineLevel="0" collapsed="false">
      <c r="B10" s="10" t="s">
        <v>209</v>
      </c>
      <c r="C10" s="38"/>
      <c r="D10" s="38"/>
      <c r="E10" s="38"/>
      <c r="F10" s="38"/>
      <c r="G10" s="38"/>
    </row>
    <row r="11" customFormat="false" ht="51.75" hidden="false" customHeight="true" outlineLevel="0" collapsed="false">
      <c r="B11" s="10" t="s">
        <v>210</v>
      </c>
      <c r="C11" s="39"/>
      <c r="D11" s="39"/>
      <c r="E11" s="39"/>
      <c r="F11" s="39"/>
      <c r="G11" s="39"/>
    </row>
    <row r="12" customFormat="false" ht="51.75" hidden="false" customHeight="true" outlineLevel="0" collapsed="false">
      <c r="B12" s="10" t="s">
        <v>211</v>
      </c>
      <c r="C12" s="38"/>
      <c r="D12" s="38"/>
      <c r="E12" s="38"/>
      <c r="F12" s="38"/>
      <c r="G12" s="38"/>
    </row>
    <row r="14" customFormat="false" ht="24" hidden="false" customHeight="true" outlineLevel="0" collapsed="false">
      <c r="B14" s="3" t="s">
        <v>212</v>
      </c>
      <c r="C14" s="3"/>
      <c r="D14" s="3"/>
      <c r="E14" s="3"/>
      <c r="F14" s="3"/>
      <c r="G14" s="3"/>
    </row>
    <row r="15" customFormat="false" ht="24" hidden="false" customHeight="true" outlineLevel="0" collapsed="false">
      <c r="B15" s="4" t="s">
        <v>205</v>
      </c>
      <c r="C15" s="4" t="s">
        <v>213</v>
      </c>
      <c r="D15" s="4" t="s">
        <v>214</v>
      </c>
      <c r="E15" s="40" t="s">
        <v>215</v>
      </c>
      <c r="F15" s="40"/>
      <c r="G15" s="40"/>
    </row>
    <row r="16" customFormat="false" ht="27.75" hidden="false" customHeight="true" outlineLevel="0" collapsed="false">
      <c r="B16" s="41" t="s">
        <v>216</v>
      </c>
      <c r="C16" s="19" t="s">
        <v>217</v>
      </c>
      <c r="D16" s="18" t="s">
        <v>218</v>
      </c>
      <c r="E16" s="14" t="s">
        <v>219</v>
      </c>
      <c r="F16" s="14"/>
      <c r="G16" s="14"/>
    </row>
    <row r="17" customFormat="false" ht="27.75" hidden="false" customHeight="true" outlineLevel="0" collapsed="false">
      <c r="B17" s="42" t="s">
        <v>45</v>
      </c>
      <c r="C17" s="21" t="s">
        <v>220</v>
      </c>
      <c r="D17" s="20" t="s">
        <v>221</v>
      </c>
      <c r="E17" s="15" t="s">
        <v>222</v>
      </c>
      <c r="F17" s="15"/>
      <c r="G17" s="15"/>
    </row>
    <row r="18" customFormat="false" ht="27.75" hidden="false" customHeight="true" outlineLevel="0" collapsed="false">
      <c r="B18" s="43" t="s">
        <v>54</v>
      </c>
      <c r="C18" s="19" t="s">
        <v>223</v>
      </c>
      <c r="D18" s="18" t="s">
        <v>224</v>
      </c>
      <c r="E18" s="14" t="s">
        <v>225</v>
      </c>
      <c r="F18" s="14"/>
      <c r="G18" s="14"/>
    </row>
    <row r="19" customFormat="false" ht="27.75" hidden="false" customHeight="true" outlineLevel="0" collapsed="false">
      <c r="B19" s="44" t="s">
        <v>226</v>
      </c>
      <c r="C19" s="21" t="s">
        <v>227</v>
      </c>
      <c r="D19" s="20" t="s">
        <v>228</v>
      </c>
      <c r="E19" s="15" t="s">
        <v>229</v>
      </c>
      <c r="F19" s="15"/>
      <c r="G19" s="15"/>
    </row>
  </sheetData>
  <mergeCells count="8">
    <mergeCell ref="B1:G1"/>
    <mergeCell ref="B2:G2"/>
    <mergeCell ref="B14:G14"/>
    <mergeCell ref="E15:G15"/>
    <mergeCell ref="E16:G16"/>
    <mergeCell ref="E17:G17"/>
    <mergeCell ref="E18:G18"/>
    <mergeCell ref="E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2026-04-20T11:38:43Z</dcterms:created>
  <dc:creator>openpyxl</dc:creator>
  <dc:description/>
  <dc:language>en-US</dc:language>
  <cp:lastModifiedBy/>
  <dcterms:modified xsi:type="dcterms:W3CDTF">2026-04-20T11:38:43Z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